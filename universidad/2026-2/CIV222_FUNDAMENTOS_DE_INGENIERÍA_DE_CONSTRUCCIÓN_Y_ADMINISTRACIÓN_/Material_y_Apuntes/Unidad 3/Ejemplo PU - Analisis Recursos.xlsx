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FSM\Fundamentos de Construccion\PDF\"/>
    </mc:Choice>
  </mc:AlternateContent>
  <bookViews>
    <workbookView xWindow="0" yWindow="0" windowWidth="15360" windowHeight="7530" xr2:uid="{820CB478-50D9-4989-BE02-66AF0E161EA1}"/>
  </bookViews>
  <sheets>
    <sheet name="Excavacion" sheetId="1" r:id="rId1"/>
    <sheet name="Instalacion Cable" sheetId="2" r:id="rId2"/>
    <sheet name="Relleno" sheetId="3" r:id="rId3"/>
    <sheet name="Presupuesto Inicial" sheetId="4" r:id="rId4"/>
    <sheet name="Analisis de Recursos" sheetId="5" r:id="rId5"/>
    <sheet name="Correccion Precios" sheetId="6" r:id="rId6"/>
    <sheet name="Presupuesto Final" sheetId="7" r:id="rId7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4" l="1"/>
  <c r="Q21" i="7" l="1"/>
  <c r="Q22" i="7"/>
  <c r="O21" i="7"/>
  <c r="N21" i="7"/>
  <c r="M21" i="7"/>
  <c r="L21" i="7"/>
  <c r="K21" i="7"/>
  <c r="J21" i="7"/>
  <c r="O20" i="7"/>
  <c r="N20" i="7"/>
  <c r="M20" i="7"/>
  <c r="L20" i="7"/>
  <c r="K20" i="7"/>
  <c r="J20" i="7"/>
  <c r="N19" i="7"/>
  <c r="L19" i="7"/>
  <c r="K19" i="7"/>
  <c r="J19" i="7"/>
  <c r="G9" i="7"/>
  <c r="F27" i="5"/>
  <c r="F28" i="5"/>
  <c r="F29" i="5"/>
  <c r="F26" i="5"/>
  <c r="H10" i="4"/>
  <c r="H9" i="4"/>
  <c r="G9" i="4"/>
  <c r="I10" i="7"/>
  <c r="H9" i="7"/>
  <c r="H10" i="7" s="1"/>
  <c r="F47" i="5"/>
  <c r="F20" i="7"/>
  <c r="H20" i="7" s="1"/>
  <c r="D20" i="7"/>
  <c r="D19" i="7"/>
  <c r="F46" i="5"/>
  <c r="F45" i="5"/>
  <c r="F33" i="6"/>
  <c r="G7" i="7"/>
  <c r="H7" i="7" s="1"/>
  <c r="F31" i="7"/>
  <c r="D31" i="7"/>
  <c r="K22" i="7" s="1"/>
  <c r="D25" i="7"/>
  <c r="H25" i="7" s="1"/>
  <c r="N22" i="7"/>
  <c r="M22" i="7"/>
  <c r="L22" i="7"/>
  <c r="J22" i="7"/>
  <c r="H19" i="7"/>
  <c r="I6" i="7"/>
  <c r="G6" i="7"/>
  <c r="H6" i="7" s="1"/>
  <c r="D41" i="6"/>
  <c r="D34" i="6"/>
  <c r="D33" i="6"/>
  <c r="C34" i="6"/>
  <c r="C33" i="6"/>
  <c r="E53" i="6"/>
  <c r="C53" i="6"/>
  <c r="E51" i="6"/>
  <c r="E52" i="6" s="1"/>
  <c r="C51" i="6"/>
  <c r="I46" i="6"/>
  <c r="F41" i="6"/>
  <c r="D53" i="6"/>
  <c r="H53" i="6" s="1"/>
  <c r="H34" i="6"/>
  <c r="D52" i="6"/>
  <c r="H52" i="6" s="1"/>
  <c r="C52" i="6"/>
  <c r="D51" i="6"/>
  <c r="H51" i="6" s="1"/>
  <c r="G7" i="6"/>
  <c r="E7" i="6"/>
  <c r="E6" i="6"/>
  <c r="E27" i="6"/>
  <c r="D27" i="6"/>
  <c r="H27" i="6" s="1"/>
  <c r="C27" i="6"/>
  <c r="E26" i="6"/>
  <c r="C26" i="6"/>
  <c r="E25" i="6"/>
  <c r="C25" i="6"/>
  <c r="E20" i="6"/>
  <c r="J14" i="6"/>
  <c r="J7" i="6"/>
  <c r="J8" i="6" s="1"/>
  <c r="H7" i="6"/>
  <c r="F7" i="6"/>
  <c r="D25" i="6"/>
  <c r="H25" i="6" s="1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U20" i="5"/>
  <c r="V20" i="5"/>
  <c r="V19" i="5"/>
  <c r="U19" i="5"/>
  <c r="G17" i="5"/>
  <c r="G18" i="5"/>
  <c r="G19" i="5"/>
  <c r="G14" i="5"/>
  <c r="F18" i="5"/>
  <c r="Q18" i="5" s="1"/>
  <c r="F17" i="5"/>
  <c r="N17" i="5" s="1"/>
  <c r="F16" i="5"/>
  <c r="G6" i="5"/>
  <c r="G10" i="5" s="1"/>
  <c r="G20" i="5" s="1"/>
  <c r="N24" i="4"/>
  <c r="L24" i="4"/>
  <c r="K24" i="4"/>
  <c r="N23" i="4"/>
  <c r="M23" i="4"/>
  <c r="L23" i="4"/>
  <c r="N21" i="4"/>
  <c r="M21" i="4"/>
  <c r="L21" i="4"/>
  <c r="N22" i="4"/>
  <c r="M22" i="4"/>
  <c r="L22" i="4"/>
  <c r="N20" i="4"/>
  <c r="M20" i="4"/>
  <c r="L20" i="4"/>
  <c r="N19" i="4"/>
  <c r="M19" i="4"/>
  <c r="L19" i="4"/>
  <c r="J24" i="4"/>
  <c r="J23" i="4"/>
  <c r="J21" i="4"/>
  <c r="J22" i="4"/>
  <c r="J20" i="4"/>
  <c r="J19" i="4"/>
  <c r="I6" i="4"/>
  <c r="F33" i="4"/>
  <c r="H33" i="4" s="1"/>
  <c r="O24" i="4" s="1"/>
  <c r="D33" i="4"/>
  <c r="D27" i="4"/>
  <c r="K20" i="4" s="1"/>
  <c r="H22" i="4"/>
  <c r="O19" i="4" s="1"/>
  <c r="D21" i="4"/>
  <c r="H21" i="4" s="1"/>
  <c r="O23" i="4" s="1"/>
  <c r="D20" i="4"/>
  <c r="H27" i="4"/>
  <c r="O20" i="4" s="1"/>
  <c r="H20" i="4"/>
  <c r="O22" i="4" s="1"/>
  <c r="H19" i="4"/>
  <c r="O21" i="4" s="1"/>
  <c r="H6" i="4"/>
  <c r="G8" i="4"/>
  <c r="H8" i="4" s="1"/>
  <c r="G7" i="4"/>
  <c r="H7" i="4" s="1"/>
  <c r="G6" i="4"/>
  <c r="M19" i="7" l="1"/>
  <c r="O19" i="7" s="1"/>
  <c r="O26" i="4"/>
  <c r="P21" i="4" s="1"/>
  <c r="K21" i="4"/>
  <c r="M24" i="4"/>
  <c r="K19" i="4"/>
  <c r="K22" i="4"/>
  <c r="K23" i="4"/>
  <c r="H21" i="7"/>
  <c r="H31" i="7"/>
  <c r="H41" i="6"/>
  <c r="H33" i="6"/>
  <c r="H35" i="6" s="1"/>
  <c r="I6" i="6"/>
  <c r="Q20" i="5"/>
  <c r="R18" i="5"/>
  <c r="N20" i="5"/>
  <c r="O17" i="5"/>
  <c r="G16" i="5"/>
  <c r="H16" i="5" s="1"/>
  <c r="H23" i="4"/>
  <c r="H35" i="4" s="1"/>
  <c r="H44" i="2"/>
  <c r="H45" i="2"/>
  <c r="H43" i="2"/>
  <c r="D45" i="2"/>
  <c r="E45" i="2"/>
  <c r="C45" i="2"/>
  <c r="E44" i="2"/>
  <c r="D44" i="2"/>
  <c r="E43" i="2"/>
  <c r="D43" i="2"/>
  <c r="C44" i="2"/>
  <c r="C43" i="2"/>
  <c r="I41" i="3"/>
  <c r="I42" i="3"/>
  <c r="I40" i="3"/>
  <c r="F42" i="3"/>
  <c r="E42" i="3"/>
  <c r="F41" i="3"/>
  <c r="F40" i="3"/>
  <c r="E41" i="3"/>
  <c r="E40" i="3"/>
  <c r="D42" i="3"/>
  <c r="D41" i="3"/>
  <c r="D40" i="3"/>
  <c r="J35" i="3"/>
  <c r="I35" i="3"/>
  <c r="I30" i="3"/>
  <c r="G30" i="3"/>
  <c r="E30" i="3"/>
  <c r="I23" i="3"/>
  <c r="I24" i="3" s="1"/>
  <c r="I33" i="3" s="1"/>
  <c r="I22" i="3"/>
  <c r="E23" i="3"/>
  <c r="E22" i="3"/>
  <c r="D23" i="3"/>
  <c r="D22" i="3"/>
  <c r="J19" i="3"/>
  <c r="J18" i="3"/>
  <c r="G18" i="3"/>
  <c r="H19" i="3"/>
  <c r="G19" i="3"/>
  <c r="G16" i="3"/>
  <c r="E38" i="2"/>
  <c r="J32" i="2"/>
  <c r="J34" i="2" s="1"/>
  <c r="D38" i="2" s="1"/>
  <c r="H38" i="2" s="1"/>
  <c r="J26" i="2"/>
  <c r="I26" i="2"/>
  <c r="J25" i="2"/>
  <c r="I25" i="2"/>
  <c r="H25" i="2"/>
  <c r="F25" i="2"/>
  <c r="E25" i="2"/>
  <c r="I24" i="2"/>
  <c r="E24" i="2"/>
  <c r="G19" i="2"/>
  <c r="G17" i="2"/>
  <c r="F38" i="1"/>
  <c r="F43" i="1"/>
  <c r="H28" i="1"/>
  <c r="H43" i="1"/>
  <c r="D38" i="1"/>
  <c r="H38" i="1" s="1"/>
  <c r="I34" i="1"/>
  <c r="H29" i="1"/>
  <c r="H24" i="1"/>
  <c r="H23" i="1"/>
  <c r="H22" i="1"/>
  <c r="F15" i="1"/>
  <c r="F14" i="1"/>
  <c r="P24" i="4" l="1"/>
  <c r="P22" i="4"/>
  <c r="P23" i="4"/>
  <c r="P19" i="4"/>
  <c r="P20" i="4"/>
  <c r="Q19" i="4"/>
  <c r="H33" i="7"/>
  <c r="O22" i="7"/>
  <c r="H44" i="6"/>
  <c r="D26" i="6"/>
  <c r="H26" i="6" s="1"/>
  <c r="I7" i="6"/>
  <c r="I8" i="6" s="1"/>
  <c r="J16" i="6" s="1"/>
  <c r="D20" i="6" s="1"/>
  <c r="H20" i="6" s="1"/>
  <c r="O20" i="5"/>
  <c r="P17" i="5"/>
  <c r="P20" i="5" s="1"/>
  <c r="R20" i="5"/>
  <c r="S18" i="5"/>
  <c r="H20" i="5"/>
  <c r="I16" i="5"/>
  <c r="Q20" i="4" l="1"/>
  <c r="Q22" i="4" s="1"/>
  <c r="Q21" i="4" s="1"/>
  <c r="Q23" i="4" s="1"/>
  <c r="Q24" i="4" s="1"/>
  <c r="P26" i="4"/>
  <c r="H46" i="6"/>
  <c r="G8" i="7"/>
  <c r="H8" i="7" s="1"/>
  <c r="O24" i="7"/>
  <c r="J16" i="5"/>
  <c r="I20" i="5"/>
  <c r="S20" i="5"/>
  <c r="T18" i="5"/>
  <c r="T20" i="5" s="1"/>
  <c r="P21" i="7" l="1"/>
  <c r="P19" i="7"/>
  <c r="P20" i="7"/>
  <c r="P22" i="7"/>
  <c r="J20" i="5"/>
  <c r="K16" i="5"/>
  <c r="P24" i="7" l="1"/>
  <c r="Q19" i="7"/>
  <c r="Q20" i="7" s="1"/>
  <c r="L16" i="5"/>
  <c r="K20" i="5"/>
  <c r="M16" i="5" l="1"/>
  <c r="M20" i="5" s="1"/>
  <c r="L20" i="5"/>
</calcChain>
</file>

<file path=xl/sharedStrings.xml><?xml version="1.0" encoding="utf-8"?>
<sst xmlns="http://schemas.openxmlformats.org/spreadsheetml/2006/main" count="419" uniqueCount="135">
  <si>
    <t>Para esta actividad se cuenta con el siguiente recurso: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</si>
  <si>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2 jornales ($18.000/HD c/u)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</si>
  <si>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El rendimiento de un Jornal excavando a mano en terreno blando es de 3 m3/HD.</t>
    </r>
  </si>
  <si>
    <t>y en una longitud de 50 m., en terreno calificado como blando.</t>
  </si>
  <si>
    <t>Se necesita realizar una excavación para la instalación de un cable eléctrico, la sección de la excavación es de 0,4 m x 1,2 m.</t>
  </si>
  <si>
    <t xml:space="preserve">Debido a consideraciones constructivas en la instalación del cable electico se deberá </t>
  </si>
  <si>
    <t>considerar la necesidad de aumentar el ancho de la zanja de 0.4 m. a 0.6 m.</t>
  </si>
  <si>
    <t>m3</t>
  </si>
  <si>
    <t xml:space="preserve"> - Cantidad real a excavar:</t>
  </si>
  <si>
    <t>Considerando la cantidad real:</t>
  </si>
  <si>
    <t>rendimiento cuadrilla</t>
  </si>
  <si>
    <t>2 Jornales</t>
  </si>
  <si>
    <t>x 3 m3/HD</t>
  </si>
  <si>
    <t>Dias de Trabajo para hacer el trabajo</t>
  </si>
  <si>
    <t>dias</t>
  </si>
  <si>
    <t>Cantidad de HD necesarios</t>
  </si>
  <si>
    <t>HD</t>
  </si>
  <si>
    <t>Rendimiento unitario del recurso Jornal</t>
  </si>
  <si>
    <t>m3/HD</t>
  </si>
  <si>
    <t>HD/m3</t>
  </si>
  <si>
    <t>Mano de Obra</t>
  </si>
  <si>
    <t>Recurso</t>
  </si>
  <si>
    <t>Jornal</t>
  </si>
  <si>
    <t>$/HD</t>
  </si>
  <si>
    <t>$/m3</t>
  </si>
  <si>
    <t>Precio Total</t>
  </si>
  <si>
    <t>P/U</t>
  </si>
  <si>
    <t>$/m3 x</t>
  </si>
  <si>
    <t>Cantidad</t>
  </si>
  <si>
    <t>P/T</t>
  </si>
  <si>
    <t>$</t>
  </si>
  <si>
    <t>Rendimiento</t>
  </si>
  <si>
    <t>Valor Insumo</t>
  </si>
  <si>
    <t>HD/m3 x</t>
  </si>
  <si>
    <t>Total Insumos</t>
  </si>
  <si>
    <t>HD Jornal</t>
  </si>
  <si>
    <t>(que corresponde al real ocupado)</t>
  </si>
  <si>
    <t>Una vez terminada la excavación se procederá con la instalación del cable eléctrico.</t>
  </si>
  <si>
    <t>Para esta actividad se cuenta con los siguientes recursos: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</si>
  <si>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Un Maestro 1ra. ($30.000/HD)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</si>
  <si>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Un Ayudante ($21.000/HD)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</si>
  <si>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Cable eléctrico ($5.000/ml)</t>
    </r>
  </si>
  <si>
    <t>La cuadrilla considerada instala la tubería en tres dias.</t>
  </si>
  <si>
    <t>En el suministro del cable eléctrico deberá considerarse una pérdida del 6%.</t>
  </si>
  <si>
    <t>Por lo tanto, el rendimiento de la cuadrilla es:</t>
  </si>
  <si>
    <t>El rendimiento unitario por unidad de la actividad:</t>
  </si>
  <si>
    <t>Cuadrilla/ml</t>
  </si>
  <si>
    <t>Por lo tanto:</t>
  </si>
  <si>
    <t>Maestro 1ra.</t>
  </si>
  <si>
    <t>HD/ml</t>
  </si>
  <si>
    <t>$/ml</t>
  </si>
  <si>
    <t>Ayudante</t>
  </si>
  <si>
    <t>Total MO</t>
  </si>
  <si>
    <t>Materiales</t>
  </si>
  <si>
    <t>En este caso debemos asegurarnos que en el precio quede incluido el 6% adicional de cable</t>
  </si>
  <si>
    <t>Perdida</t>
  </si>
  <si>
    <t>Cable elect.</t>
  </si>
  <si>
    <t>ml/ml</t>
  </si>
  <si>
    <t>Precio Unit. Total</t>
  </si>
  <si>
    <t xml:space="preserve">Una vez instalada la tubería dentro de la excavación se deberá rellenar con el mismo </t>
  </si>
  <si>
    <t>material de la excavación.</t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</si>
  <si>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Un Maestro 2da. (operador del equipo de compactación) ($25.000/HD)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</si>
  <si>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2 jornales para el relleno ($18.000/HD c/u)</t>
    </r>
  </si>
  <si>
    <r>
      <t>-</t>
    </r>
    <r>
      <rPr>
        <sz val="7"/>
        <color theme="1"/>
        <rFont val="Times New Roman"/>
        <family val="1"/>
      </rPr>
      <t xml:space="preserve">          </t>
    </r>
    <r>
      <rPr>
        <b/>
        <i/>
        <sz val="12"/>
        <color theme="1"/>
        <rFont val="Times New Roman"/>
        <family val="1"/>
      </rPr>
      <t>Un equipo compactador manual ($100.000/semana), este precio incluye combustible y mantención.</t>
    </r>
  </si>
  <si>
    <t>Se estima que, con estos recursos, la actividad demora 4 dias.</t>
  </si>
  <si>
    <t>Despreciar el volumen del cable eléctrico.</t>
  </si>
  <si>
    <t>Rendimiento de la Cuadrilla:</t>
  </si>
  <si>
    <t>Rendimiento recurso MO:</t>
  </si>
  <si>
    <t>Maestro 2da.</t>
  </si>
  <si>
    <t>Total Rend. Unitario</t>
  </si>
  <si>
    <t>HD M2da./m3</t>
  </si>
  <si>
    <t>HD Jornal/m3</t>
  </si>
  <si>
    <t>Total P/U</t>
  </si>
  <si>
    <t>Equipo</t>
  </si>
  <si>
    <t>El equipo de ocupara por 4 dias, por lo tanto:</t>
  </si>
  <si>
    <t>Compactador</t>
  </si>
  <si>
    <t>Total P/T</t>
  </si>
  <si>
    <t>ml</t>
  </si>
  <si>
    <t>Obra: Instalación Cable electico</t>
  </si>
  <si>
    <t>Ítem</t>
  </si>
  <si>
    <t>Descripción</t>
  </si>
  <si>
    <t>Unidad</t>
  </si>
  <si>
    <t>Excavación</t>
  </si>
  <si>
    <t>Instalación Tubería</t>
  </si>
  <si>
    <t>Relleno</t>
  </si>
  <si>
    <t>Total</t>
  </si>
  <si>
    <t>Consumo de Insumos</t>
  </si>
  <si>
    <t>Maestro 1ra</t>
  </si>
  <si>
    <t>Maestro 2da</t>
  </si>
  <si>
    <t>Equipos</t>
  </si>
  <si>
    <t>Cable</t>
  </si>
  <si>
    <t>% Parcial</t>
  </si>
  <si>
    <t>% Acum.</t>
  </si>
  <si>
    <t>gl</t>
  </si>
  <si>
    <t>Semana 1</t>
  </si>
  <si>
    <t>Semana 2</t>
  </si>
  <si>
    <t>Semana 3</t>
  </si>
  <si>
    <t>Limpieza y Entrega</t>
  </si>
  <si>
    <t>Prueba y Entrega</t>
  </si>
  <si>
    <t xml:space="preserve"> - Contratos por pocos dias</t>
  </si>
  <si>
    <t xml:space="preserve"> - entre otros</t>
  </si>
  <si>
    <t>Para un mejor manejo del recurso Mano de Obra, se considerara los siguiente:</t>
  </si>
  <si>
    <t xml:space="preserve"> - Se reemplazara el Maestro de 2da. Por un Maestro de 1ra.</t>
  </si>
  <si>
    <t xml:space="preserve"> - Se reemplazara el Ayudante por dos Jornales</t>
  </si>
  <si>
    <t>Gl</t>
  </si>
  <si>
    <t>La curva de MO varia en cantidad y en las especialidades.</t>
  </si>
  <si>
    <t>Programa de Obra</t>
  </si>
  <si>
    <t xml:space="preserve"> - Cantidad teórica a excavar:</t>
  </si>
  <si>
    <t>De acuerdo al Itemizado entregado nos pagaran por la cantidad teórica</t>
  </si>
  <si>
    <t>Sin embargo, el trabajo a realizar será mayor y por supuesto su costo mayor</t>
  </si>
  <si>
    <t>m3/día</t>
  </si>
  <si>
    <t>Por lo tanto, se debe considerar que nos pagaran por la cantidad teórica</t>
  </si>
  <si>
    <t>Los HD necesarios por m3 teórico excavado es</t>
  </si>
  <si>
    <t>El Precio Unitario será:</t>
  </si>
  <si>
    <t>Cantidad de Recursos incluido en Precio Total</t>
  </si>
  <si>
    <t>En este caso, que puede ser por razones constructivas, la duración esta impuesta a 3 dias</t>
  </si>
  <si>
    <t>ml/día</t>
  </si>
  <si>
    <t>En este caso, al igual que el anterior, por razones exógenas a la actividad misma se impone una duración de 4 dias.</t>
  </si>
  <si>
    <t>m3/día cuadrilla</t>
  </si>
  <si>
    <t>(Nótese que usamos la cantidad teórica ya que es la cantidad que se pagara)</t>
  </si>
  <si>
    <t>día/m3</t>
  </si>
  <si>
    <t>$/día</t>
  </si>
  <si>
    <t>Incidencia de Insumos</t>
  </si>
  <si>
    <t>día</t>
  </si>
  <si>
    <t>Duración (dias)</t>
  </si>
  <si>
    <t>Prueba y Terminación</t>
  </si>
  <si>
    <t>Análisis del recurso MO. Nueva Distribución</t>
  </si>
  <si>
    <t>Esto no lleva a tener que variar los precios, pero no la duración</t>
  </si>
  <si>
    <t>Duración</t>
  </si>
  <si>
    <t>Distribución MO por Actividad</t>
  </si>
  <si>
    <t>Distribución MO por Especialidad</t>
  </si>
  <si>
    <t>De acuerdo a la distribución de la Mano de Obra por especializadas se ven problemas:</t>
  </si>
  <si>
    <t xml:space="preserve"> - Mala distribución</t>
  </si>
  <si>
    <t>Costos Instalación Cable corregido</t>
  </si>
  <si>
    <t>Costos Instalación Relleno corregido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</si>
</sst>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justify" vertical="center"/>
    </xf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0" fontId="2" fillId="0" borderId="0" xfId="0" applyFont="1" applyAlignment="1">
      <alignment horizontal="left" vertical="center"/>
    </xf>
    <xf numFmtId="43" fontId="0" fillId="0" borderId="0" xfId="0" applyNumberFormat="1"/>
    <xf numFmtId="0" fontId="0" fillId="0" borderId="4" xfId="0" applyBorder="1" applyAlignment="1">
      <alignment horizontal="center"/>
    </xf>
    <xf numFmtId="0" fontId="0" fillId="0" borderId="4" xfId="0" applyBorder="1"/>
    <xf numFmtId="164" fontId="0" fillId="0" borderId="4" xfId="1" applyNumberFormat="1" applyFont="1" applyBorder="1"/>
    <xf numFmtId="164" fontId="0" fillId="0" borderId="4" xfId="1" applyNumberFormat="1" applyFont="1" applyBorder="1" applyAlignment="1">
      <alignment horizontal="center"/>
    </xf>
    <xf numFmtId="0" fontId="4" fillId="0" borderId="0" xfId="0" applyFont="1"/>
    <xf numFmtId="0" fontId="0" fillId="0" borderId="4" xfId="0" applyFill="1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3" fontId="0" fillId="0" borderId="4" xfId="0" applyNumberFormat="1" applyBorder="1" applyAlignment="1">
      <alignment horizontal="center"/>
    </xf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5" fillId="2" borderId="9" xfId="0" applyFont="1" applyFill="1" applyBorder="1"/>
    <xf numFmtId="0" fontId="5" fillId="2" borderId="0" xfId="0" applyFont="1" applyFill="1" applyBorder="1"/>
    <xf numFmtId="0" fontId="0" fillId="2" borderId="0" xfId="0" applyFill="1" applyBorder="1"/>
    <xf numFmtId="0" fontId="0" fillId="2" borderId="5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4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6" xfId="0" applyFont="1" applyBorder="1"/>
    <xf numFmtId="0" fontId="4" fillId="0" borderId="9" xfId="0" applyFont="1" applyBorder="1"/>
    <xf numFmtId="43" fontId="0" fillId="0" borderId="0" xfId="0" applyNumberFormat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0" fillId="0" borderId="10" xfId="0" applyBorder="1"/>
    <xf numFmtId="0" fontId="0" fillId="0" borderId="11" xfId="0" applyBorder="1"/>
    <xf numFmtId="164" fontId="0" fillId="0" borderId="11" xfId="1" applyNumberFormat="1" applyFont="1" applyBorder="1"/>
    <xf numFmtId="164" fontId="4" fillId="0" borderId="11" xfId="1" applyNumberFormat="1" applyFont="1" applyBorder="1"/>
    <xf numFmtId="164" fontId="4" fillId="0" borderId="12" xfId="1" applyNumberFormat="1" applyFont="1" applyBorder="1"/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Border="1"/>
    <xf numFmtId="10" fontId="0" fillId="0" borderId="0" xfId="2" applyNumberFormat="1" applyFont="1" applyBorder="1"/>
    <xf numFmtId="10" fontId="0" fillId="0" borderId="5" xfId="0" applyNumberFormat="1" applyBorder="1"/>
    <xf numFmtId="164" fontId="0" fillId="0" borderId="9" xfId="0" applyNumberFormat="1" applyBorder="1"/>
    <xf numFmtId="0" fontId="0" fillId="0" borderId="12" xfId="0" applyBorder="1"/>
    <xf numFmtId="0" fontId="2" fillId="0" borderId="9" xfId="0" applyFont="1" applyBorder="1"/>
    <xf numFmtId="164" fontId="4" fillId="0" borderId="0" xfId="1" applyNumberFormat="1" applyFont="1" applyBorder="1"/>
    <xf numFmtId="164" fontId="4" fillId="0" borderId="5" xfId="1" applyNumberFormat="1" applyFont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3920878240625539"/>
          <c:y val="0.29136771745589712"/>
          <c:w val="0.82308771448759133"/>
          <c:h val="0.30347553905076996"/>
        </c:manualLayout>
      </c:layout>
      <c:barChart>
        <c:barDir val="col"/>
        <c:grouping val="clustered"/>
        <c:varyColors val="0"/>
        <c:ser>
          <c:idx val="0"/>
          <c:order val="0"/>
          <c:tx>
            <c:v>HD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'Analisis de Recursos'!$H$3:$V$3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cat>
          <c:val>
            <c:numRef>
              <c:f>'Analisis de Recursos'!$H$20:$V$20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8-43A2-A8F5-0BF374B97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3885752"/>
        <c:axId val="703883784"/>
      </c:barChart>
      <c:catAx>
        <c:axId val="703885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3883784"/>
        <c:crosses val="autoZero"/>
        <c:auto val="1"/>
        <c:lblAlgn val="ctr"/>
        <c:lblOffset val="100"/>
        <c:noMultiLvlLbl val="0"/>
      </c:catAx>
      <c:valAx>
        <c:axId val="70388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3885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072515889299263"/>
          <c:y val="0.32968865813567239"/>
          <c:w val="0.8552069682759722"/>
          <c:h val="0.4641046620439811"/>
        </c:manualLayout>
      </c:layout>
      <c:barChart>
        <c:barDir val="col"/>
        <c:grouping val="clustered"/>
        <c:varyColors val="0"/>
        <c:ser>
          <c:idx val="0"/>
          <c:order val="0"/>
          <c:tx>
            <c:v>MO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'Analisis de Recursos'!$H$47:$V$47</c:f>
              <c:numCache>
                <c:formatCode>General</c:formatCode>
                <c:ptCount val="1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3-4D5F-A6A3-B8B1ACAB5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6298784"/>
        <c:axId val="703100616"/>
      </c:barChart>
      <c:catAx>
        <c:axId val="886298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03100616"/>
        <c:crosses val="autoZero"/>
        <c:auto val="1"/>
        <c:lblAlgn val="ctr"/>
        <c:lblOffset val="100"/>
        <c:noMultiLvlLbl val="0"/>
      </c:catAx>
      <c:valAx>
        <c:axId val="703100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629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676274</xdr:colOff>
      <xdr:row>11</xdr:row>
      <xdr:rowOff>169334</xdr:rowOff>
    </xdr:from>
    <xdr:to>
      <xdr:col>28</xdr:col>
      <xdr:colOff>338665</xdr:colOff>
      <xdr:row>20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FA1D3F-C7DE-4E0E-B0D3-18E47FF1D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370416</xdr:colOff>
      <xdr:row>39</xdr:row>
      <xdr:rowOff>137581</xdr:rowOff>
    </xdr:from>
    <xdr:to>
      <xdr:col>27</xdr:col>
      <xdr:colOff>518583</xdr:colOff>
      <xdr:row>47</xdr:row>
      <xdr:rowOff>148167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0AC3D1-4D4A-4C7E-866B-64E88D115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397F7-A8CF-4EBC-9247-D2F9F19CEDFA}">
  <dimension ref="C3:J44"/>
  <sheetViews>
    <sheetView tabSelected="1" workbookViewId="0">
      <selection activeCell="C48" sqref="C48"/>
    </sheetView>
  </sheetViews>
  <sheetFormatPr baseColWidth="10" defaultRowHeight="15" x14ac:dyDescent="0.25"/>
  <cols>
    <col min="3" max="3" width="11.42578125" customWidth="1"/>
  </cols>
  <sheetData>
    <row r="3" spans="3:7" ht="15.75" x14ac:dyDescent="0.25">
      <c r="C3" s="2" t="s">
        <v>4</v>
      </c>
    </row>
    <row r="4" spans="3:7" ht="15.75" x14ac:dyDescent="0.25">
      <c r="C4" s="2" t="s">
        <v>3</v>
      </c>
    </row>
    <row r="6" spans="3:7" ht="15.75" x14ac:dyDescent="0.25">
      <c r="C6" s="2" t="s">
        <v>0</v>
      </c>
    </row>
    <row r="8" spans="3:7" ht="15.75" x14ac:dyDescent="0.25">
      <c r="C8" s="2" t="s">
        <v>1</v>
      </c>
    </row>
    <row r="9" spans="3:7" ht="15.75" x14ac:dyDescent="0.25">
      <c r="C9" s="2" t="s">
        <v>2</v>
      </c>
    </row>
    <row r="10" spans="3:7" ht="15.75" x14ac:dyDescent="0.25">
      <c r="C10" s="1"/>
    </row>
    <row r="11" spans="3:7" ht="15.75" x14ac:dyDescent="0.25">
      <c r="C11" s="2" t="s">
        <v>5</v>
      </c>
    </row>
    <row r="12" spans="3:7" ht="15.75" x14ac:dyDescent="0.25">
      <c r="C12" s="2" t="s">
        <v>6</v>
      </c>
    </row>
    <row r="14" spans="3:7" ht="15.75" x14ac:dyDescent="0.25">
      <c r="C14" s="2" t="s">
        <v>107</v>
      </c>
      <c r="F14">
        <f>0.4*1.2*50</f>
        <v>24</v>
      </c>
      <c r="G14" t="s">
        <v>7</v>
      </c>
    </row>
    <row r="15" spans="3:7" ht="15.75" x14ac:dyDescent="0.25">
      <c r="C15" s="2" t="s">
        <v>8</v>
      </c>
      <c r="F15">
        <f>0.6*1.2*50</f>
        <v>36</v>
      </c>
      <c r="G15" t="s">
        <v>7</v>
      </c>
    </row>
    <row r="17" spans="3:9" ht="15.75" x14ac:dyDescent="0.25">
      <c r="C17" s="2" t="s">
        <v>108</v>
      </c>
    </row>
    <row r="18" spans="3:9" ht="15.75" x14ac:dyDescent="0.25">
      <c r="C18" s="2" t="s">
        <v>109</v>
      </c>
    </row>
    <row r="20" spans="3:9" ht="15.75" x14ac:dyDescent="0.25">
      <c r="C20" s="2" t="s">
        <v>9</v>
      </c>
    </row>
    <row r="22" spans="3:9" x14ac:dyDescent="0.25">
      <c r="D22" t="s">
        <v>10</v>
      </c>
      <c r="F22" t="s">
        <v>11</v>
      </c>
      <c r="G22" t="s">
        <v>12</v>
      </c>
      <c r="H22">
        <f>2*3</f>
        <v>6</v>
      </c>
      <c r="I22" t="s">
        <v>110</v>
      </c>
    </row>
    <row r="23" spans="3:9" x14ac:dyDescent="0.25">
      <c r="D23" t="s">
        <v>13</v>
      </c>
      <c r="H23">
        <f>+F15/H22</f>
        <v>6</v>
      </c>
      <c r="I23" t="s">
        <v>14</v>
      </c>
    </row>
    <row r="24" spans="3:9" x14ac:dyDescent="0.25">
      <c r="D24" t="s">
        <v>15</v>
      </c>
      <c r="H24">
        <f>+H23*2</f>
        <v>12</v>
      </c>
      <c r="I24" t="s">
        <v>16</v>
      </c>
    </row>
    <row r="26" spans="3:9" x14ac:dyDescent="0.25">
      <c r="D26" t="s">
        <v>111</v>
      </c>
    </row>
    <row r="28" spans="3:9" x14ac:dyDescent="0.25">
      <c r="D28" t="s">
        <v>17</v>
      </c>
      <c r="H28">
        <f>+F14/H24</f>
        <v>2</v>
      </c>
      <c r="I28" t="s">
        <v>18</v>
      </c>
    </row>
    <row r="29" spans="3:9" x14ac:dyDescent="0.25">
      <c r="D29" t="s">
        <v>112</v>
      </c>
      <c r="H29">
        <f>1/H28</f>
        <v>0.5</v>
      </c>
      <c r="I29" t="s">
        <v>19</v>
      </c>
    </row>
    <row r="31" spans="3:9" ht="15.75" x14ac:dyDescent="0.25">
      <c r="C31" s="2" t="s">
        <v>113</v>
      </c>
    </row>
    <row r="33" spans="3:10" x14ac:dyDescent="0.25">
      <c r="D33" t="s">
        <v>21</v>
      </c>
      <c r="E33" t="s">
        <v>31</v>
      </c>
      <c r="G33" t="s">
        <v>32</v>
      </c>
      <c r="I33" t="s">
        <v>26</v>
      </c>
    </row>
    <row r="34" spans="3:10" x14ac:dyDescent="0.25">
      <c r="D34" t="s">
        <v>22</v>
      </c>
      <c r="E34">
        <v>0.5</v>
      </c>
      <c r="F34" t="s">
        <v>19</v>
      </c>
      <c r="G34" s="4">
        <v>18000</v>
      </c>
      <c r="H34" t="s">
        <v>23</v>
      </c>
      <c r="I34" s="4">
        <f>+E34*G34</f>
        <v>9000</v>
      </c>
      <c r="J34" t="s">
        <v>24</v>
      </c>
    </row>
    <row r="36" spans="3:10" ht="15.75" x14ac:dyDescent="0.25">
      <c r="C36" s="2" t="s">
        <v>25</v>
      </c>
    </row>
    <row r="37" spans="3:10" x14ac:dyDescent="0.25">
      <c r="D37" t="s">
        <v>26</v>
      </c>
      <c r="F37" t="s">
        <v>28</v>
      </c>
      <c r="H37" t="s">
        <v>29</v>
      </c>
    </row>
    <row r="38" spans="3:10" x14ac:dyDescent="0.25">
      <c r="D38" s="4">
        <f>+I34</f>
        <v>9000</v>
      </c>
      <c r="E38" t="s">
        <v>27</v>
      </c>
      <c r="F38">
        <f>+F14</f>
        <v>24</v>
      </c>
      <c r="G38" t="s">
        <v>7</v>
      </c>
      <c r="H38" s="4">
        <f>+F38*D38</f>
        <v>216000</v>
      </c>
      <c r="I38" t="s">
        <v>30</v>
      </c>
    </row>
    <row r="40" spans="3:10" ht="15.75" x14ac:dyDescent="0.25">
      <c r="C40" s="2" t="s">
        <v>114</v>
      </c>
    </row>
    <row r="42" spans="3:10" x14ac:dyDescent="0.25">
      <c r="D42" t="s">
        <v>31</v>
      </c>
      <c r="F42" t="s">
        <v>28</v>
      </c>
      <c r="H42" t="s">
        <v>34</v>
      </c>
    </row>
    <row r="43" spans="3:10" x14ac:dyDescent="0.25">
      <c r="D43">
        <v>0.5</v>
      </c>
      <c r="E43" t="s">
        <v>33</v>
      </c>
      <c r="F43">
        <f>+F38</f>
        <v>24</v>
      </c>
      <c r="G43" t="s">
        <v>7</v>
      </c>
      <c r="H43">
        <f>+D43*F43</f>
        <v>12</v>
      </c>
      <c r="I43" t="s">
        <v>35</v>
      </c>
    </row>
    <row r="44" spans="3:10" x14ac:dyDescent="0.25">
      <c r="H44" t="s">
        <v>36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FC9DB-A767-4697-A124-0CF394FFE13A}">
  <dimension ref="C3:K45"/>
  <sheetViews>
    <sheetView topLeftCell="A21" workbookViewId="0">
      <selection activeCell="C40" sqref="C40"/>
    </sheetView>
  </sheetViews>
  <sheetFormatPr baseColWidth="10" defaultRowHeight="15" x14ac:dyDescent="0.25"/>
  <sheetData>
    <row r="3" spans="3:3" ht="17.25" customHeight="1" x14ac:dyDescent="0.25">
      <c r="C3" s="5" t="s">
        <v>37</v>
      </c>
    </row>
    <row r="5" spans="3:3" ht="15.75" x14ac:dyDescent="0.25">
      <c r="C5" s="5" t="s">
        <v>38</v>
      </c>
    </row>
    <row r="7" spans="3:3" ht="15.75" x14ac:dyDescent="0.25">
      <c r="C7" s="5" t="s">
        <v>39</v>
      </c>
    </row>
    <row r="8" spans="3:3" ht="15.75" x14ac:dyDescent="0.25">
      <c r="C8" s="5" t="s">
        <v>40</v>
      </c>
    </row>
    <row r="9" spans="3:3" ht="15.75" x14ac:dyDescent="0.25">
      <c r="C9" s="5" t="s">
        <v>41</v>
      </c>
    </row>
    <row r="11" spans="3:3" ht="15.75" x14ac:dyDescent="0.25">
      <c r="C11" s="5" t="s">
        <v>42</v>
      </c>
    </row>
    <row r="13" spans="3:3" ht="15.75" x14ac:dyDescent="0.25">
      <c r="C13" s="5" t="s">
        <v>43</v>
      </c>
    </row>
    <row r="15" spans="3:3" x14ac:dyDescent="0.25">
      <c r="C15" t="s">
        <v>115</v>
      </c>
    </row>
    <row r="17" spans="3:11" x14ac:dyDescent="0.25">
      <c r="C17" t="s">
        <v>44</v>
      </c>
      <c r="G17" s="3">
        <f>50/3</f>
        <v>16.666666666666668</v>
      </c>
      <c r="H17" t="s">
        <v>116</v>
      </c>
    </row>
    <row r="19" spans="3:11" x14ac:dyDescent="0.25">
      <c r="C19" t="s">
        <v>45</v>
      </c>
      <c r="G19" s="6">
        <f>1/G17</f>
        <v>0.06</v>
      </c>
      <c r="H19" t="s">
        <v>46</v>
      </c>
    </row>
    <row r="21" spans="3:11" x14ac:dyDescent="0.25">
      <c r="C21" t="s">
        <v>47</v>
      </c>
    </row>
    <row r="22" spans="3:11" x14ac:dyDescent="0.25">
      <c r="D22" t="s">
        <v>20</v>
      </c>
    </row>
    <row r="23" spans="3:11" x14ac:dyDescent="0.25">
      <c r="D23" t="s">
        <v>21</v>
      </c>
      <c r="E23" t="s">
        <v>31</v>
      </c>
      <c r="G23" t="s">
        <v>32</v>
      </c>
      <c r="I23" t="s">
        <v>26</v>
      </c>
    </row>
    <row r="24" spans="3:11" x14ac:dyDescent="0.25">
      <c r="D24" t="s">
        <v>48</v>
      </c>
      <c r="E24" s="6">
        <f>+G19</f>
        <v>0.06</v>
      </c>
      <c r="F24" t="s">
        <v>49</v>
      </c>
      <c r="G24" s="4">
        <v>30000</v>
      </c>
      <c r="H24" t="s">
        <v>23</v>
      </c>
      <c r="I24" s="4">
        <f>+E24*G24</f>
        <v>1800</v>
      </c>
      <c r="J24" t="s">
        <v>50</v>
      </c>
    </row>
    <row r="25" spans="3:11" x14ac:dyDescent="0.25">
      <c r="D25" t="s">
        <v>51</v>
      </c>
      <c r="E25" s="6">
        <f>+E24</f>
        <v>0.06</v>
      </c>
      <c r="F25" t="str">
        <f>+F24</f>
        <v>HD/ml</v>
      </c>
      <c r="G25" s="4">
        <v>21000</v>
      </c>
      <c r="H25" t="str">
        <f>+H24</f>
        <v>$/HD</v>
      </c>
      <c r="I25" s="4">
        <f>+E25*G25</f>
        <v>1260</v>
      </c>
      <c r="J25" t="str">
        <f>+J24</f>
        <v>$/ml</v>
      </c>
    </row>
    <row r="26" spans="3:11" x14ac:dyDescent="0.25">
      <c r="H26" t="s">
        <v>52</v>
      </c>
      <c r="I26" s="4">
        <f>+I25+I24</f>
        <v>3060</v>
      </c>
      <c r="J26" t="str">
        <f>+J25</f>
        <v>$/ml</v>
      </c>
    </row>
    <row r="28" spans="3:11" x14ac:dyDescent="0.25">
      <c r="D28" t="s">
        <v>53</v>
      </c>
    </row>
    <row r="29" spans="3:11" x14ac:dyDescent="0.25">
      <c r="D29" t="s">
        <v>54</v>
      </c>
    </row>
    <row r="31" spans="3:11" x14ac:dyDescent="0.25">
      <c r="D31" t="s">
        <v>21</v>
      </c>
      <c r="E31" t="s">
        <v>31</v>
      </c>
      <c r="G31" t="s">
        <v>55</v>
      </c>
      <c r="H31" t="s">
        <v>32</v>
      </c>
      <c r="J31" t="s">
        <v>26</v>
      </c>
    </row>
    <row r="32" spans="3:11" x14ac:dyDescent="0.25">
      <c r="D32" t="s">
        <v>56</v>
      </c>
      <c r="E32">
        <v>1</v>
      </c>
      <c r="F32" t="s">
        <v>57</v>
      </c>
      <c r="G32">
        <v>1.06</v>
      </c>
      <c r="H32" s="4">
        <v>5000</v>
      </c>
      <c r="I32" t="s">
        <v>50</v>
      </c>
      <c r="J32" s="4">
        <f>+E32*G32*H32</f>
        <v>5300</v>
      </c>
      <c r="K32" t="s">
        <v>50</v>
      </c>
    </row>
    <row r="33" spans="3:11" x14ac:dyDescent="0.25">
      <c r="H33" s="4"/>
      <c r="J33" s="4"/>
    </row>
    <row r="34" spans="3:11" x14ac:dyDescent="0.25">
      <c r="H34" s="4" t="s">
        <v>58</v>
      </c>
      <c r="J34" s="4">
        <f>+J32+I26</f>
        <v>8360</v>
      </c>
      <c r="K34" t="s">
        <v>50</v>
      </c>
    </row>
    <row r="36" spans="3:11" ht="15.75" x14ac:dyDescent="0.25">
      <c r="C36" s="2" t="s">
        <v>25</v>
      </c>
    </row>
    <row r="37" spans="3:11" x14ac:dyDescent="0.25">
      <c r="D37" t="s">
        <v>26</v>
      </c>
      <c r="F37" t="s">
        <v>28</v>
      </c>
      <c r="H37" t="s">
        <v>29</v>
      </c>
    </row>
    <row r="38" spans="3:11" x14ac:dyDescent="0.25">
      <c r="D38" s="4">
        <f>+J34</f>
        <v>8360</v>
      </c>
      <c r="E38" t="str">
        <f>+K34</f>
        <v>$/ml</v>
      </c>
      <c r="F38">
        <v>50</v>
      </c>
      <c r="H38" s="4">
        <f>+F38*D38</f>
        <v>418000</v>
      </c>
      <c r="I38" t="s">
        <v>30</v>
      </c>
    </row>
    <row r="40" spans="3:11" ht="15.75" x14ac:dyDescent="0.25">
      <c r="C40" s="2" t="s">
        <v>114</v>
      </c>
    </row>
    <row r="42" spans="3:11" x14ac:dyDescent="0.25">
      <c r="D42" t="s">
        <v>31</v>
      </c>
      <c r="F42" t="s">
        <v>28</v>
      </c>
      <c r="H42" t="s">
        <v>34</v>
      </c>
    </row>
    <row r="43" spans="3:11" x14ac:dyDescent="0.25">
      <c r="C43" t="str">
        <f>+D24</f>
        <v>Maestro 1ra.</v>
      </c>
      <c r="D43" s="6">
        <f>+E24</f>
        <v>0.06</v>
      </c>
      <c r="E43" s="6" t="str">
        <f t="shared" ref="E43:E44" si="0">+F24</f>
        <v>HD/ml</v>
      </c>
      <c r="F43">
        <v>50</v>
      </c>
      <c r="G43" t="s">
        <v>77</v>
      </c>
      <c r="H43" s="6">
        <f>+F43*D43</f>
        <v>3</v>
      </c>
      <c r="I43" t="s">
        <v>16</v>
      </c>
    </row>
    <row r="44" spans="3:11" x14ac:dyDescent="0.25">
      <c r="C44" t="str">
        <f>+D25</f>
        <v>Ayudante</v>
      </c>
      <c r="D44" s="6">
        <f t="shared" ref="D44" si="1">+E25</f>
        <v>0.06</v>
      </c>
      <c r="E44" s="6" t="str">
        <f t="shared" si="0"/>
        <v>HD/ml</v>
      </c>
      <c r="F44">
        <v>50</v>
      </c>
      <c r="G44" t="s">
        <v>77</v>
      </c>
      <c r="H44" s="6">
        <f t="shared" ref="H44:H45" si="2">+F44*D44</f>
        <v>3</v>
      </c>
      <c r="I44" t="s">
        <v>16</v>
      </c>
    </row>
    <row r="45" spans="3:11" x14ac:dyDescent="0.25">
      <c r="C45" t="str">
        <f>+D32</f>
        <v>Cable elect.</v>
      </c>
      <c r="D45">
        <f>+E32*G32</f>
        <v>1.06</v>
      </c>
      <c r="E45" t="str">
        <f t="shared" ref="E45" si="3">+F32</f>
        <v>ml/ml</v>
      </c>
      <c r="F45">
        <v>50</v>
      </c>
      <c r="G45" t="s">
        <v>77</v>
      </c>
      <c r="H45" s="6">
        <f t="shared" si="2"/>
        <v>53</v>
      </c>
      <c r="I4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7167B-F9BE-4D71-A058-829F0B7CD059}">
  <dimension ref="C3:K42"/>
  <sheetViews>
    <sheetView topLeftCell="A19" workbookViewId="0">
      <selection activeCell="D37" sqref="D37"/>
    </sheetView>
  </sheetViews>
  <sheetFormatPr baseColWidth="10" defaultRowHeight="15" x14ac:dyDescent="0.25"/>
  <sheetData>
    <row r="3" spans="3:10" ht="15.75" x14ac:dyDescent="0.25">
      <c r="C3" s="2" t="s">
        <v>59</v>
      </c>
    </row>
    <row r="4" spans="3:10" ht="15.75" x14ac:dyDescent="0.25">
      <c r="C4" s="2" t="s">
        <v>60</v>
      </c>
    </row>
    <row r="6" spans="3:10" ht="15.75" x14ac:dyDescent="0.25">
      <c r="C6" s="2" t="s">
        <v>61</v>
      </c>
    </row>
    <row r="7" spans="3:10" ht="15.75" x14ac:dyDescent="0.25">
      <c r="C7" s="2" t="s">
        <v>62</v>
      </c>
    </row>
    <row r="8" spans="3:10" ht="15.75" x14ac:dyDescent="0.25">
      <c r="C8" s="2" t="s">
        <v>63</v>
      </c>
    </row>
    <row r="10" spans="3:10" ht="15.75" x14ac:dyDescent="0.25">
      <c r="C10" s="2" t="s">
        <v>64</v>
      </c>
    </row>
    <row r="11" spans="3:10" ht="15.75" x14ac:dyDescent="0.25">
      <c r="C11" s="2" t="s">
        <v>65</v>
      </c>
    </row>
    <row r="13" spans="3:10" ht="15.75" x14ac:dyDescent="0.25">
      <c r="C13" s="2" t="s">
        <v>117</v>
      </c>
    </row>
    <row r="15" spans="3:10" ht="15.75" x14ac:dyDescent="0.25">
      <c r="C15" s="2" t="s">
        <v>47</v>
      </c>
    </row>
    <row r="16" spans="3:10" ht="15.75" x14ac:dyDescent="0.25">
      <c r="C16" s="2"/>
      <c r="D16" t="s">
        <v>66</v>
      </c>
      <c r="G16">
        <f>24/4</f>
        <v>6</v>
      </c>
      <c r="H16" t="s">
        <v>118</v>
      </c>
      <c r="J16" t="s">
        <v>119</v>
      </c>
    </row>
    <row r="17" spans="3:11" ht="15.75" x14ac:dyDescent="0.25">
      <c r="C17" s="2"/>
      <c r="D17" t="s">
        <v>67</v>
      </c>
      <c r="I17" t="s">
        <v>28</v>
      </c>
      <c r="J17" t="s">
        <v>69</v>
      </c>
    </row>
    <row r="18" spans="3:11" ht="15.75" x14ac:dyDescent="0.25">
      <c r="C18" s="2"/>
      <c r="E18" t="s">
        <v>68</v>
      </c>
      <c r="G18" s="3">
        <f>1/G16</f>
        <v>0.16666666666666666</v>
      </c>
      <c r="H18" t="s">
        <v>19</v>
      </c>
      <c r="I18">
        <v>1</v>
      </c>
      <c r="J18" s="6">
        <f>+I18*G18</f>
        <v>0.16666666666666666</v>
      </c>
      <c r="K18" t="s">
        <v>70</v>
      </c>
    </row>
    <row r="19" spans="3:11" ht="15.75" x14ac:dyDescent="0.25">
      <c r="C19" s="2"/>
      <c r="E19" t="s">
        <v>22</v>
      </c>
      <c r="G19" s="3">
        <f>+G18</f>
        <v>0.16666666666666666</v>
      </c>
      <c r="H19" t="str">
        <f>+H18</f>
        <v>HD/m3</v>
      </c>
      <c r="I19">
        <v>2</v>
      </c>
      <c r="J19" s="6">
        <f>+I19*G19</f>
        <v>0.33333333333333331</v>
      </c>
      <c r="K19" t="s">
        <v>71</v>
      </c>
    </row>
    <row r="20" spans="3:11" x14ac:dyDescent="0.25">
      <c r="D20" t="s">
        <v>20</v>
      </c>
    </row>
    <row r="21" spans="3:11" x14ac:dyDescent="0.25">
      <c r="D21" t="s">
        <v>21</v>
      </c>
      <c r="E21" t="s">
        <v>31</v>
      </c>
      <c r="G21" t="s">
        <v>32</v>
      </c>
      <c r="I21" t="s">
        <v>26</v>
      </c>
    </row>
    <row r="22" spans="3:11" x14ac:dyDescent="0.25">
      <c r="D22" t="str">
        <f>+E18</f>
        <v>Maestro 2da.</v>
      </c>
      <c r="E22" s="6">
        <f>+J18</f>
        <v>0.16666666666666666</v>
      </c>
      <c r="F22" t="s">
        <v>19</v>
      </c>
      <c r="G22" s="4">
        <v>25000</v>
      </c>
      <c r="H22" t="s">
        <v>23</v>
      </c>
      <c r="I22" s="4">
        <f>+G22*E22</f>
        <v>4166.6666666666661</v>
      </c>
      <c r="J22" t="s">
        <v>24</v>
      </c>
    </row>
    <row r="23" spans="3:11" x14ac:dyDescent="0.25">
      <c r="D23" t="str">
        <f>+E19</f>
        <v>Jornal</v>
      </c>
      <c r="E23" s="6">
        <f>+J19</f>
        <v>0.33333333333333331</v>
      </c>
      <c r="F23" t="s">
        <v>19</v>
      </c>
      <c r="G23" s="4">
        <v>18000</v>
      </c>
      <c r="H23" t="s">
        <v>23</v>
      </c>
      <c r="I23" s="4">
        <f>+G23*E23</f>
        <v>6000</v>
      </c>
      <c r="J23" t="s">
        <v>24</v>
      </c>
    </row>
    <row r="24" spans="3:11" x14ac:dyDescent="0.25">
      <c r="H24" t="s">
        <v>72</v>
      </c>
      <c r="I24" s="4">
        <f>+I23+I22</f>
        <v>10166.666666666666</v>
      </c>
      <c r="J24" t="s">
        <v>24</v>
      </c>
    </row>
    <row r="25" spans="3:11" x14ac:dyDescent="0.25">
      <c r="I25" s="4"/>
    </row>
    <row r="26" spans="3:11" x14ac:dyDescent="0.25">
      <c r="D26" t="s">
        <v>73</v>
      </c>
      <c r="I26" s="4"/>
    </row>
    <row r="27" spans="3:11" x14ac:dyDescent="0.25">
      <c r="E27" t="s">
        <v>74</v>
      </c>
      <c r="I27" s="4"/>
    </row>
    <row r="28" spans="3:11" x14ac:dyDescent="0.25">
      <c r="I28" s="4"/>
    </row>
    <row r="29" spans="3:11" x14ac:dyDescent="0.25">
      <c r="D29" t="s">
        <v>21</v>
      </c>
      <c r="E29" t="s">
        <v>31</v>
      </c>
      <c r="G29" t="s">
        <v>32</v>
      </c>
      <c r="I29" s="4" t="s">
        <v>26</v>
      </c>
    </row>
    <row r="30" spans="3:11" x14ac:dyDescent="0.25">
      <c r="D30" t="s">
        <v>75</v>
      </c>
      <c r="E30" s="6">
        <f>+G19</f>
        <v>0.16666666666666666</v>
      </c>
      <c r="F30" t="s">
        <v>120</v>
      </c>
      <c r="G30" s="4">
        <f>100000/7</f>
        <v>14285.714285714286</v>
      </c>
      <c r="H30" t="s">
        <v>121</v>
      </c>
      <c r="I30" s="4">
        <f>+G30*E30</f>
        <v>2380.9523809523807</v>
      </c>
      <c r="J30" t="s">
        <v>24</v>
      </c>
    </row>
    <row r="33" spans="4:10" x14ac:dyDescent="0.25">
      <c r="H33" t="s">
        <v>72</v>
      </c>
      <c r="I33" s="4">
        <f>+I30+I24</f>
        <v>12547.619047619046</v>
      </c>
      <c r="J33" t="s">
        <v>24</v>
      </c>
    </row>
    <row r="35" spans="4:10" x14ac:dyDescent="0.25">
      <c r="H35" t="s">
        <v>76</v>
      </c>
      <c r="I35" s="4">
        <f>+I33*24</f>
        <v>301142.8571428571</v>
      </c>
      <c r="J35" t="str">
        <f>+J33</f>
        <v>$/m3</v>
      </c>
    </row>
    <row r="37" spans="4:10" ht="15.75" x14ac:dyDescent="0.25">
      <c r="D37" s="2" t="s">
        <v>114</v>
      </c>
    </row>
    <row r="39" spans="4:10" x14ac:dyDescent="0.25">
      <c r="E39" t="s">
        <v>31</v>
      </c>
      <c r="G39" t="s">
        <v>28</v>
      </c>
      <c r="I39" t="s">
        <v>34</v>
      </c>
    </row>
    <row r="40" spans="4:10" x14ac:dyDescent="0.25">
      <c r="D40" t="str">
        <f>+D22</f>
        <v>Maestro 2da.</v>
      </c>
      <c r="E40" s="6">
        <f>+E22</f>
        <v>0.16666666666666666</v>
      </c>
      <c r="F40" t="str">
        <f>+F22</f>
        <v>HD/m3</v>
      </c>
      <c r="G40">
        <v>24</v>
      </c>
      <c r="H40" t="s">
        <v>7</v>
      </c>
      <c r="I40" s="6">
        <f>+G40*E40</f>
        <v>4</v>
      </c>
      <c r="J40" t="s">
        <v>16</v>
      </c>
    </row>
    <row r="41" spans="4:10" x14ac:dyDescent="0.25">
      <c r="D41" t="str">
        <f>+D23</f>
        <v>Jornal</v>
      </c>
      <c r="E41" s="6">
        <f>+E23</f>
        <v>0.33333333333333331</v>
      </c>
      <c r="F41" t="str">
        <f>+F40</f>
        <v>HD/m3</v>
      </c>
      <c r="G41">
        <v>24</v>
      </c>
      <c r="H41" t="s">
        <v>7</v>
      </c>
      <c r="I41" s="6">
        <f t="shared" ref="I41:I42" si="0">+G41*E41</f>
        <v>8</v>
      </c>
      <c r="J41" t="s">
        <v>16</v>
      </c>
    </row>
    <row r="42" spans="4:10" x14ac:dyDescent="0.25">
      <c r="D42" t="str">
        <f>+D30</f>
        <v>Compactador</v>
      </c>
      <c r="E42" s="6">
        <f>+E30</f>
        <v>0.16666666666666666</v>
      </c>
      <c r="F42" t="str">
        <f>+F30</f>
        <v>día/m3</v>
      </c>
      <c r="G42">
        <v>24</v>
      </c>
      <c r="H42" t="s">
        <v>7</v>
      </c>
      <c r="I42" s="6">
        <f t="shared" si="0"/>
        <v>4</v>
      </c>
      <c r="J4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8711-8617-4A68-B259-2198F272DA5E}">
  <dimension ref="C2:Q35"/>
  <sheetViews>
    <sheetView topLeftCell="F6" zoomScale="85" zoomScaleNormal="85" workbookViewId="0">
      <selection activeCell="I11" sqref="I11"/>
    </sheetView>
  </sheetViews>
  <sheetFormatPr baseColWidth="10" defaultRowHeight="15" x14ac:dyDescent="0.25"/>
  <cols>
    <col min="4" max="4" width="17.7109375" bestFit="1" customWidth="1"/>
    <col min="9" max="9" width="14.28515625" bestFit="1" customWidth="1"/>
  </cols>
  <sheetData>
    <row r="2" spans="3:17" x14ac:dyDescent="0.25">
      <c r="C2" s="30" t="s">
        <v>78</v>
      </c>
      <c r="D2" s="31"/>
      <c r="E2" s="31"/>
      <c r="F2" s="31"/>
      <c r="G2" s="31"/>
      <c r="H2" s="32"/>
    </row>
    <row r="4" spans="3:17" x14ac:dyDescent="0.25">
      <c r="C4" s="7" t="s">
        <v>79</v>
      </c>
      <c r="D4" s="8" t="s">
        <v>80</v>
      </c>
      <c r="E4" s="7" t="s">
        <v>81</v>
      </c>
      <c r="F4" s="7" t="s">
        <v>28</v>
      </c>
      <c r="G4" s="7" t="s">
        <v>26</v>
      </c>
      <c r="H4" s="7" t="s">
        <v>29</v>
      </c>
      <c r="I4" s="13" t="s">
        <v>124</v>
      </c>
    </row>
    <row r="5" spans="3:17" x14ac:dyDescent="0.25">
      <c r="C5" s="7"/>
      <c r="D5" s="8"/>
      <c r="E5" s="7"/>
      <c r="F5" s="7"/>
      <c r="G5" s="8"/>
      <c r="H5" s="8"/>
      <c r="I5" s="14"/>
    </row>
    <row r="6" spans="3:17" x14ac:dyDescent="0.25">
      <c r="C6" s="7">
        <v>1</v>
      </c>
      <c r="D6" s="8" t="s">
        <v>82</v>
      </c>
      <c r="E6" s="7" t="s">
        <v>7</v>
      </c>
      <c r="F6" s="7">
        <v>24</v>
      </c>
      <c r="G6" s="9">
        <f>+Excavacion!I34</f>
        <v>9000</v>
      </c>
      <c r="H6" s="9">
        <f>+F6*G6</f>
        <v>216000</v>
      </c>
      <c r="I6" s="14">
        <f>+Excavacion!H23</f>
        <v>6</v>
      </c>
    </row>
    <row r="7" spans="3:17" x14ac:dyDescent="0.25">
      <c r="C7" s="7">
        <v>2</v>
      </c>
      <c r="D7" s="8" t="s">
        <v>83</v>
      </c>
      <c r="E7" s="7" t="s">
        <v>77</v>
      </c>
      <c r="F7" s="7">
        <v>50</v>
      </c>
      <c r="G7" s="9">
        <f>+'Instalacion Cable'!J34</f>
        <v>8360</v>
      </c>
      <c r="H7" s="9">
        <f t="shared" ref="H7:H9" si="0">+F7*G7</f>
        <v>418000</v>
      </c>
      <c r="I7" s="14">
        <v>3</v>
      </c>
    </row>
    <row r="8" spans="3:17" x14ac:dyDescent="0.25">
      <c r="C8" s="7">
        <v>3</v>
      </c>
      <c r="D8" s="8" t="s">
        <v>84</v>
      </c>
      <c r="E8" s="7" t="s">
        <v>7</v>
      </c>
      <c r="F8" s="7">
        <v>24</v>
      </c>
      <c r="G8" s="9">
        <f>+Relleno!I33</f>
        <v>12547.619047619046</v>
      </c>
      <c r="H8" s="9">
        <f t="shared" si="0"/>
        <v>301142.8571428571</v>
      </c>
      <c r="I8" s="14">
        <v>4</v>
      </c>
    </row>
    <row r="9" spans="3:17" x14ac:dyDescent="0.25">
      <c r="C9" s="7">
        <v>4</v>
      </c>
      <c r="D9" s="8" t="s">
        <v>125</v>
      </c>
      <c r="E9" s="7" t="s">
        <v>104</v>
      </c>
      <c r="F9" s="7">
        <v>1</v>
      </c>
      <c r="G9" s="9">
        <f>18000*2+30000*2</f>
        <v>96000</v>
      </c>
      <c r="H9" s="9">
        <f t="shared" si="0"/>
        <v>96000</v>
      </c>
      <c r="I9" s="14">
        <v>2</v>
      </c>
    </row>
    <row r="10" spans="3:17" x14ac:dyDescent="0.25">
      <c r="G10" s="10" t="s">
        <v>85</v>
      </c>
      <c r="H10" s="10">
        <f>SUM(H6:H9)</f>
        <v>1031142.857142857</v>
      </c>
      <c r="I10" s="14">
        <f>SUM(I6:I9)</f>
        <v>15</v>
      </c>
    </row>
    <row r="13" spans="3:17" x14ac:dyDescent="0.25">
      <c r="C13" s="34" t="s">
        <v>86</v>
      </c>
      <c r="D13" s="18"/>
      <c r="E13" s="18"/>
      <c r="F13" s="18"/>
      <c r="G13" s="18"/>
      <c r="H13" s="19"/>
      <c r="J13" s="34" t="s">
        <v>122</v>
      </c>
      <c r="K13" s="18"/>
      <c r="L13" s="18"/>
      <c r="M13" s="18"/>
      <c r="N13" s="18"/>
      <c r="O13" s="18"/>
      <c r="P13" s="18"/>
      <c r="Q13" s="19"/>
    </row>
    <row r="14" spans="3:17" x14ac:dyDescent="0.25">
      <c r="C14" s="20"/>
      <c r="D14" s="16"/>
      <c r="E14" s="16"/>
      <c r="F14" s="16"/>
      <c r="G14" s="16"/>
      <c r="H14" s="21"/>
      <c r="J14" s="20"/>
      <c r="K14" s="16"/>
      <c r="L14" s="16"/>
      <c r="M14" s="16"/>
      <c r="N14" s="16"/>
      <c r="O14" s="16"/>
      <c r="P14" s="16"/>
      <c r="Q14" s="21"/>
    </row>
    <row r="15" spans="3:17" x14ac:dyDescent="0.25">
      <c r="C15" s="35" t="s">
        <v>20</v>
      </c>
      <c r="D15" s="16"/>
      <c r="E15" s="16"/>
      <c r="F15" s="16"/>
      <c r="G15" s="16"/>
      <c r="H15" s="21"/>
      <c r="J15" s="20"/>
      <c r="K15" s="16"/>
      <c r="L15" s="16"/>
      <c r="M15" s="16"/>
      <c r="N15" s="16"/>
      <c r="O15" s="16"/>
      <c r="P15" s="16"/>
      <c r="Q15" s="21"/>
    </row>
    <row r="16" spans="3:17" x14ac:dyDescent="0.25">
      <c r="C16" s="20"/>
      <c r="D16" s="16"/>
      <c r="E16" s="16"/>
      <c r="F16" s="16"/>
      <c r="G16" s="16"/>
      <c r="H16" s="21"/>
      <c r="J16" s="20"/>
      <c r="K16" s="16"/>
      <c r="L16" s="16"/>
      <c r="M16" s="16"/>
      <c r="N16" s="16"/>
      <c r="O16" s="16"/>
      <c r="P16" s="16"/>
      <c r="Q16" s="21"/>
    </row>
    <row r="17" spans="3:17" x14ac:dyDescent="0.25">
      <c r="C17" s="20" t="s">
        <v>80</v>
      </c>
      <c r="D17" s="16" t="s">
        <v>28</v>
      </c>
      <c r="E17" s="16" t="s">
        <v>81</v>
      </c>
      <c r="F17" s="16" t="s">
        <v>26</v>
      </c>
      <c r="G17" s="16"/>
      <c r="H17" s="21" t="s">
        <v>29</v>
      </c>
      <c r="J17" s="20" t="s">
        <v>80</v>
      </c>
      <c r="K17" s="16" t="s">
        <v>28</v>
      </c>
      <c r="L17" s="16" t="s">
        <v>81</v>
      </c>
      <c r="M17" s="16" t="s">
        <v>26</v>
      </c>
      <c r="N17" s="16"/>
      <c r="O17" s="16" t="s">
        <v>29</v>
      </c>
      <c r="P17" s="44" t="s">
        <v>91</v>
      </c>
      <c r="Q17" s="45" t="s">
        <v>92</v>
      </c>
    </row>
    <row r="18" spans="3:17" x14ac:dyDescent="0.25">
      <c r="C18" s="20"/>
      <c r="D18" s="16"/>
      <c r="E18" s="16"/>
      <c r="F18" s="16"/>
      <c r="G18" s="16"/>
      <c r="H18" s="21"/>
      <c r="J18" s="20"/>
      <c r="K18" s="16"/>
      <c r="L18" s="16"/>
      <c r="M18" s="16"/>
      <c r="N18" s="16"/>
      <c r="O18" s="16"/>
      <c r="P18" s="16"/>
      <c r="Q18" s="21"/>
    </row>
    <row r="19" spans="3:17" x14ac:dyDescent="0.25">
      <c r="C19" s="20" t="s">
        <v>87</v>
      </c>
      <c r="D19" s="36">
        <v>5</v>
      </c>
      <c r="E19" s="16" t="s">
        <v>16</v>
      </c>
      <c r="F19" s="37">
        <v>30000</v>
      </c>
      <c r="G19" s="37" t="s">
        <v>23</v>
      </c>
      <c r="H19" s="38">
        <f>+D19*F19</f>
        <v>150000</v>
      </c>
      <c r="J19" s="20" t="str">
        <f>+C22</f>
        <v>Jornal</v>
      </c>
      <c r="K19" s="16">
        <f t="shared" ref="K19:O19" si="1">+D22</f>
        <v>22</v>
      </c>
      <c r="L19" s="16" t="str">
        <f t="shared" si="1"/>
        <v>HD</v>
      </c>
      <c r="M19" s="46">
        <f t="shared" si="1"/>
        <v>18000</v>
      </c>
      <c r="N19" s="16" t="str">
        <f t="shared" si="1"/>
        <v>$/HD</v>
      </c>
      <c r="O19" s="46">
        <f t="shared" si="1"/>
        <v>396000</v>
      </c>
      <c r="P19" s="47">
        <f t="shared" ref="P19:P24" si="2">+O19/$O$26</f>
        <v>0.38403990024937656</v>
      </c>
      <c r="Q19" s="48">
        <f>+P19</f>
        <v>0.38403990024937656</v>
      </c>
    </row>
    <row r="20" spans="3:17" x14ac:dyDescent="0.25">
      <c r="C20" s="20" t="s">
        <v>88</v>
      </c>
      <c r="D20" s="36">
        <f>+Relleno!I40</f>
        <v>4</v>
      </c>
      <c r="E20" s="16" t="s">
        <v>16</v>
      </c>
      <c r="F20" s="37">
        <v>25000</v>
      </c>
      <c r="G20" s="37" t="s">
        <v>23</v>
      </c>
      <c r="H20" s="38">
        <f>+D20*F20</f>
        <v>100000</v>
      </c>
      <c r="J20" s="20" t="str">
        <f>+C27</f>
        <v>Cable</v>
      </c>
      <c r="K20" s="16">
        <f t="shared" ref="K20:O20" si="3">+D27</f>
        <v>53</v>
      </c>
      <c r="L20" s="16" t="str">
        <f t="shared" si="3"/>
        <v>ml</v>
      </c>
      <c r="M20" s="46">
        <f t="shared" si="3"/>
        <v>5000</v>
      </c>
      <c r="N20" s="16" t="str">
        <f t="shared" si="3"/>
        <v>$/ml</v>
      </c>
      <c r="O20" s="46">
        <f t="shared" si="3"/>
        <v>265000</v>
      </c>
      <c r="P20" s="47">
        <f t="shared" si="2"/>
        <v>0.25699639789415352</v>
      </c>
      <c r="Q20" s="48">
        <f>+P20+Q19</f>
        <v>0.64103629814353003</v>
      </c>
    </row>
    <row r="21" spans="3:17" x14ac:dyDescent="0.25">
      <c r="C21" s="20" t="s">
        <v>51</v>
      </c>
      <c r="D21" s="36">
        <f>+'Instalacion Cable'!H44</f>
        <v>3</v>
      </c>
      <c r="E21" s="16" t="s">
        <v>16</v>
      </c>
      <c r="F21" s="37">
        <v>21000</v>
      </c>
      <c r="G21" s="37" t="s">
        <v>23</v>
      </c>
      <c r="H21" s="38">
        <f>+D21*F21</f>
        <v>63000</v>
      </c>
      <c r="J21" s="49" t="str">
        <f t="shared" ref="J21:O23" si="4">+C19</f>
        <v>Maestro 1ra</v>
      </c>
      <c r="K21" s="46">
        <f t="shared" si="4"/>
        <v>5</v>
      </c>
      <c r="L21" s="46" t="str">
        <f t="shared" si="4"/>
        <v>HD</v>
      </c>
      <c r="M21" s="46">
        <f t="shared" si="4"/>
        <v>30000</v>
      </c>
      <c r="N21" s="46" t="str">
        <f t="shared" si="4"/>
        <v>$/HD</v>
      </c>
      <c r="O21" s="46">
        <f t="shared" si="4"/>
        <v>150000</v>
      </c>
      <c r="P21" s="47">
        <f t="shared" si="2"/>
        <v>0.14546965918536992</v>
      </c>
      <c r="Q21" s="48">
        <f>+P21+Q22</f>
        <v>0.88348573011914655</v>
      </c>
    </row>
    <row r="22" spans="3:17" x14ac:dyDescent="0.25">
      <c r="C22" s="20" t="s">
        <v>22</v>
      </c>
      <c r="D22" s="36">
        <v>22</v>
      </c>
      <c r="E22" s="16" t="s">
        <v>16</v>
      </c>
      <c r="F22" s="37">
        <v>18000</v>
      </c>
      <c r="G22" s="37" t="s">
        <v>23</v>
      </c>
      <c r="H22" s="38">
        <f>+D22*F22</f>
        <v>396000</v>
      </c>
      <c r="J22" s="20" t="str">
        <f t="shared" si="4"/>
        <v>Maestro 2da</v>
      </c>
      <c r="K22" s="16">
        <f t="shared" si="4"/>
        <v>4</v>
      </c>
      <c r="L22" s="16" t="str">
        <f t="shared" si="4"/>
        <v>HD</v>
      </c>
      <c r="M22" s="46">
        <f t="shared" si="4"/>
        <v>25000</v>
      </c>
      <c r="N22" s="16" t="str">
        <f t="shared" si="4"/>
        <v>$/HD</v>
      </c>
      <c r="O22" s="46">
        <f t="shared" si="4"/>
        <v>100000</v>
      </c>
      <c r="P22" s="47">
        <f t="shared" si="2"/>
        <v>9.697977279024661E-2</v>
      </c>
      <c r="Q22" s="48">
        <f>+P22+Q20</f>
        <v>0.73801607093377664</v>
      </c>
    </row>
    <row r="23" spans="3:17" x14ac:dyDescent="0.25">
      <c r="C23" s="20"/>
      <c r="D23" s="16"/>
      <c r="E23" s="16"/>
      <c r="F23" s="37"/>
      <c r="G23" s="37" t="s">
        <v>52</v>
      </c>
      <c r="H23" s="38">
        <f>SUM(H19:H22)</f>
        <v>709000</v>
      </c>
      <c r="J23" s="20" t="str">
        <f t="shared" si="4"/>
        <v>Ayudante</v>
      </c>
      <c r="K23" s="16">
        <f t="shared" si="4"/>
        <v>3</v>
      </c>
      <c r="L23" s="16" t="str">
        <f t="shared" si="4"/>
        <v>HD</v>
      </c>
      <c r="M23" s="46">
        <f t="shared" si="4"/>
        <v>21000</v>
      </c>
      <c r="N23" s="16" t="str">
        <f t="shared" si="4"/>
        <v>$/HD</v>
      </c>
      <c r="O23" s="46">
        <f t="shared" si="4"/>
        <v>63000</v>
      </c>
      <c r="P23" s="47">
        <f t="shared" si="2"/>
        <v>6.1097256857855359E-2</v>
      </c>
      <c r="Q23" s="48">
        <f>+P23+Q21</f>
        <v>0.94458298697700194</v>
      </c>
    </row>
    <row r="24" spans="3:17" x14ac:dyDescent="0.25">
      <c r="C24" s="20"/>
      <c r="D24" s="16"/>
      <c r="E24" s="16"/>
      <c r="F24" s="37"/>
      <c r="G24" s="37"/>
      <c r="H24" s="38"/>
      <c r="J24" s="20" t="str">
        <f t="shared" ref="J24:O24" si="5">+C33</f>
        <v>Compactador</v>
      </c>
      <c r="K24" s="16">
        <f t="shared" si="5"/>
        <v>4</v>
      </c>
      <c r="L24" s="16" t="str">
        <f t="shared" si="5"/>
        <v>día</v>
      </c>
      <c r="M24" s="46">
        <f t="shared" si="5"/>
        <v>14285.714285714286</v>
      </c>
      <c r="N24" s="16" t="str">
        <f t="shared" si="5"/>
        <v>$/día</v>
      </c>
      <c r="O24" s="46">
        <f t="shared" si="5"/>
        <v>57142.857142857145</v>
      </c>
      <c r="P24" s="47">
        <f t="shared" si="2"/>
        <v>5.5417013022998063E-2</v>
      </c>
      <c r="Q24" s="48">
        <f>+P24+Q23</f>
        <v>1</v>
      </c>
    </row>
    <row r="25" spans="3:17" x14ac:dyDescent="0.25">
      <c r="C25" s="35" t="s">
        <v>53</v>
      </c>
      <c r="D25" s="16"/>
      <c r="E25" s="16"/>
      <c r="F25" s="37"/>
      <c r="G25" s="37"/>
      <c r="H25" s="38"/>
      <c r="J25" s="20"/>
      <c r="K25" s="16"/>
      <c r="L25" s="16"/>
      <c r="M25" s="16"/>
      <c r="N25" s="16"/>
      <c r="O25" s="16"/>
      <c r="P25" s="16"/>
      <c r="Q25" s="21"/>
    </row>
    <row r="26" spans="3:17" x14ac:dyDescent="0.25">
      <c r="C26" s="20"/>
      <c r="D26" s="16"/>
      <c r="E26" s="16"/>
      <c r="F26" s="37"/>
      <c r="G26" s="37"/>
      <c r="H26" s="38"/>
      <c r="J26" s="20"/>
      <c r="K26" s="16"/>
      <c r="L26" s="16"/>
      <c r="M26" s="16"/>
      <c r="N26" s="16"/>
      <c r="O26" s="46">
        <f>SUM(O19:O25)</f>
        <v>1031142.8571428572</v>
      </c>
      <c r="P26" s="47">
        <f>SUM(P19:P25)</f>
        <v>1</v>
      </c>
      <c r="Q26" s="21"/>
    </row>
    <row r="27" spans="3:17" x14ac:dyDescent="0.25">
      <c r="C27" s="20" t="s">
        <v>90</v>
      </c>
      <c r="D27" s="36">
        <f>+'Instalacion Cable'!H45</f>
        <v>53</v>
      </c>
      <c r="E27" s="16" t="s">
        <v>77</v>
      </c>
      <c r="F27" s="37">
        <v>5000</v>
      </c>
      <c r="G27" s="37" t="s">
        <v>50</v>
      </c>
      <c r="H27" s="38">
        <f>+F27*D27</f>
        <v>265000</v>
      </c>
      <c r="J27" s="39"/>
      <c r="K27" s="40"/>
      <c r="L27" s="40"/>
      <c r="M27" s="40"/>
      <c r="N27" s="40"/>
      <c r="O27" s="40"/>
      <c r="P27" s="40"/>
      <c r="Q27" s="50"/>
    </row>
    <row r="28" spans="3:17" x14ac:dyDescent="0.25">
      <c r="C28" s="20"/>
      <c r="D28" s="16"/>
      <c r="E28" s="16"/>
      <c r="F28" s="37"/>
      <c r="G28" s="37"/>
      <c r="H28" s="38"/>
    </row>
    <row r="29" spans="3:17" x14ac:dyDescent="0.25">
      <c r="C29" s="35" t="s">
        <v>89</v>
      </c>
      <c r="D29" s="16"/>
      <c r="E29" s="16"/>
      <c r="F29" s="37"/>
      <c r="G29" s="37"/>
      <c r="H29" s="38"/>
    </row>
    <row r="30" spans="3:17" x14ac:dyDescent="0.25">
      <c r="C30" s="20"/>
      <c r="D30" s="16"/>
      <c r="E30" s="16"/>
      <c r="F30" s="37"/>
      <c r="G30" s="37"/>
      <c r="H30" s="38"/>
    </row>
    <row r="31" spans="3:17" x14ac:dyDescent="0.25">
      <c r="C31" s="20" t="s">
        <v>80</v>
      </c>
      <c r="D31" s="16" t="s">
        <v>28</v>
      </c>
      <c r="E31" s="16"/>
      <c r="F31" s="37" t="s">
        <v>26</v>
      </c>
      <c r="G31" s="37"/>
      <c r="H31" s="38" t="s">
        <v>29</v>
      </c>
    </row>
    <row r="32" spans="3:17" x14ac:dyDescent="0.25">
      <c r="C32" s="20"/>
      <c r="D32" s="16"/>
      <c r="E32" s="16"/>
      <c r="F32" s="37"/>
      <c r="G32" s="37"/>
      <c r="H32" s="38"/>
    </row>
    <row r="33" spans="3:8" x14ac:dyDescent="0.25">
      <c r="C33" s="20" t="s">
        <v>75</v>
      </c>
      <c r="D33" s="36">
        <f>+Relleno!I42</f>
        <v>4</v>
      </c>
      <c r="E33" s="16" t="s">
        <v>123</v>
      </c>
      <c r="F33" s="37">
        <f>+Relleno!G30</f>
        <v>14285.714285714286</v>
      </c>
      <c r="G33" s="37" t="s">
        <v>121</v>
      </c>
      <c r="H33" s="38">
        <f>+F33*D33</f>
        <v>57142.857142857145</v>
      </c>
    </row>
    <row r="34" spans="3:8" x14ac:dyDescent="0.25">
      <c r="C34" s="20"/>
      <c r="D34" s="16"/>
      <c r="E34" s="16"/>
      <c r="F34" s="37"/>
      <c r="G34" s="37"/>
      <c r="H34" s="38"/>
    </row>
    <row r="35" spans="3:8" x14ac:dyDescent="0.25">
      <c r="C35" s="39"/>
      <c r="D35" s="40"/>
      <c r="E35" s="40"/>
      <c r="F35" s="41"/>
      <c r="G35" s="42" t="s">
        <v>85</v>
      </c>
      <c r="H35" s="43">
        <f>+H33+H27+H23</f>
        <v>1031142.8571428572</v>
      </c>
    </row>
  </sheetData>
  <mergeCells count="1">
    <mergeCell ref="C2:H2"/>
  </mergeCells>
  <pageMargins left="0.7" right="0.7" top="0.75" bottom="0.75" header="0.3" footer="0.3"/>
  <pageSetup orientation="portrait" horizontalDpi="30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9735-3E27-48BA-B642-C60DB03C29FE}">
  <dimension ref="C2:V50"/>
  <sheetViews>
    <sheetView topLeftCell="B23" zoomScale="90" zoomScaleNormal="90" workbookViewId="0">
      <selection activeCell="R59" sqref="R59"/>
    </sheetView>
  </sheetViews>
  <sheetFormatPr baseColWidth="10" defaultRowHeight="15" x14ac:dyDescent="0.25"/>
  <cols>
    <col min="3" max="3" width="5.140625" bestFit="1" customWidth="1"/>
    <col min="4" max="4" width="17.7109375" bestFit="1" customWidth="1"/>
    <col min="5" max="5" width="7.28515625" bestFit="1" customWidth="1"/>
    <col min="6" max="7" width="8.85546875" bestFit="1" customWidth="1"/>
    <col min="8" max="22" width="3.7109375" customWidth="1"/>
  </cols>
  <sheetData>
    <row r="2" spans="3:22" x14ac:dyDescent="0.25">
      <c r="C2" s="11" t="s">
        <v>106</v>
      </c>
      <c r="H2" s="33" t="s">
        <v>94</v>
      </c>
      <c r="I2" s="33"/>
      <c r="J2" s="33"/>
      <c r="K2" s="33"/>
      <c r="L2" s="33"/>
      <c r="M2" s="33" t="s">
        <v>95</v>
      </c>
      <c r="N2" s="33"/>
      <c r="O2" s="33"/>
      <c r="P2" s="33"/>
      <c r="Q2" s="33"/>
      <c r="R2" s="33" t="s">
        <v>96</v>
      </c>
      <c r="S2" s="33"/>
      <c r="T2" s="33"/>
      <c r="U2" s="33"/>
      <c r="V2" s="33"/>
    </row>
    <row r="3" spans="3:22" x14ac:dyDescent="0.25">
      <c r="H3" s="8">
        <v>1</v>
      </c>
      <c r="I3" s="8">
        <v>2</v>
      </c>
      <c r="J3" s="8">
        <v>3</v>
      </c>
      <c r="K3" s="8">
        <v>4</v>
      </c>
      <c r="L3" s="8">
        <v>5</v>
      </c>
      <c r="M3" s="8">
        <v>6</v>
      </c>
      <c r="N3" s="8">
        <v>7</v>
      </c>
      <c r="O3" s="8">
        <v>8</v>
      </c>
      <c r="P3" s="8">
        <v>9</v>
      </c>
      <c r="Q3" s="8">
        <v>10</v>
      </c>
      <c r="R3" s="8">
        <v>11</v>
      </c>
      <c r="S3" s="8">
        <v>12</v>
      </c>
      <c r="T3" s="8">
        <v>13</v>
      </c>
      <c r="U3" s="8">
        <v>14</v>
      </c>
      <c r="V3" s="8">
        <v>15</v>
      </c>
    </row>
    <row r="4" spans="3:22" x14ac:dyDescent="0.25">
      <c r="C4" s="7" t="s">
        <v>79</v>
      </c>
      <c r="D4" s="8" t="s">
        <v>80</v>
      </c>
      <c r="E4" s="7" t="s">
        <v>81</v>
      </c>
      <c r="F4" s="7" t="s">
        <v>28</v>
      </c>
      <c r="G4" s="12" t="s">
        <v>128</v>
      </c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9"/>
    </row>
    <row r="5" spans="3:22" x14ac:dyDescent="0.25">
      <c r="C5" s="7"/>
      <c r="D5" s="8"/>
      <c r="E5" s="7"/>
      <c r="F5" s="7"/>
      <c r="G5" s="8"/>
      <c r="H5" s="20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21"/>
    </row>
    <row r="6" spans="3:22" x14ac:dyDescent="0.25">
      <c r="C6" s="7">
        <v>1</v>
      </c>
      <c r="D6" s="8" t="s">
        <v>82</v>
      </c>
      <c r="E6" s="7" t="s">
        <v>7</v>
      </c>
      <c r="F6" s="7">
        <v>24</v>
      </c>
      <c r="G6" s="7">
        <f>+Excavacion!H23</f>
        <v>6</v>
      </c>
      <c r="H6" s="22"/>
      <c r="I6" s="23"/>
      <c r="J6" s="23"/>
      <c r="K6" s="23"/>
      <c r="L6" s="23"/>
      <c r="M6" s="23"/>
      <c r="N6" s="16"/>
      <c r="O6" s="16"/>
      <c r="P6" s="16"/>
      <c r="Q6" s="16"/>
      <c r="R6" s="16"/>
      <c r="S6" s="16"/>
      <c r="T6" s="16"/>
      <c r="U6" s="16"/>
      <c r="V6" s="21"/>
    </row>
    <row r="7" spans="3:22" x14ac:dyDescent="0.25">
      <c r="C7" s="7">
        <v>2</v>
      </c>
      <c r="D7" s="8" t="s">
        <v>83</v>
      </c>
      <c r="E7" s="7" t="s">
        <v>77</v>
      </c>
      <c r="F7" s="7">
        <v>50</v>
      </c>
      <c r="G7" s="7">
        <v>3</v>
      </c>
      <c r="H7" s="20"/>
      <c r="I7" s="16"/>
      <c r="J7" s="16"/>
      <c r="K7" s="16"/>
      <c r="L7" s="16"/>
      <c r="M7" s="16"/>
      <c r="N7" s="24"/>
      <c r="O7" s="24"/>
      <c r="P7" s="24"/>
      <c r="Q7" s="16"/>
      <c r="R7" s="16"/>
      <c r="S7" s="16"/>
      <c r="T7" s="16"/>
      <c r="U7" s="16"/>
      <c r="V7" s="21"/>
    </row>
    <row r="8" spans="3:22" x14ac:dyDescent="0.25">
      <c r="C8" s="7">
        <v>3</v>
      </c>
      <c r="D8" s="8" t="s">
        <v>84</v>
      </c>
      <c r="E8" s="7" t="s">
        <v>7</v>
      </c>
      <c r="F8" s="7">
        <v>24</v>
      </c>
      <c r="G8" s="7">
        <v>4</v>
      </c>
      <c r="H8" s="20"/>
      <c r="I8" s="16"/>
      <c r="J8" s="16"/>
      <c r="K8" s="16"/>
      <c r="L8" s="16"/>
      <c r="M8" s="16"/>
      <c r="N8" s="16"/>
      <c r="O8" s="16"/>
      <c r="P8" s="16"/>
      <c r="Q8" s="24"/>
      <c r="R8" s="24"/>
      <c r="S8" s="24"/>
      <c r="T8" s="24"/>
      <c r="U8" s="16"/>
      <c r="V8" s="21"/>
    </row>
    <row r="9" spans="3:22" x14ac:dyDescent="0.25">
      <c r="C9" s="7">
        <v>4</v>
      </c>
      <c r="D9" s="8" t="s">
        <v>97</v>
      </c>
      <c r="E9" s="7" t="s">
        <v>93</v>
      </c>
      <c r="F9" s="7">
        <v>1</v>
      </c>
      <c r="G9" s="7">
        <v>2</v>
      </c>
      <c r="H9" s="20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24"/>
      <c r="V9" s="25"/>
    </row>
    <row r="10" spans="3:22" x14ac:dyDescent="0.25">
      <c r="F10" s="8" t="s">
        <v>85</v>
      </c>
      <c r="G10" s="7">
        <f>SUM(G6:G9)</f>
        <v>15</v>
      </c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8"/>
    </row>
    <row r="12" spans="3:22" x14ac:dyDescent="0.25">
      <c r="C12" s="11" t="s">
        <v>129</v>
      </c>
      <c r="H12" s="33" t="s">
        <v>94</v>
      </c>
      <c r="I12" s="33"/>
      <c r="J12" s="33"/>
      <c r="K12" s="33"/>
      <c r="L12" s="33"/>
      <c r="M12" s="33" t="s">
        <v>95</v>
      </c>
      <c r="N12" s="33"/>
      <c r="O12" s="33"/>
      <c r="P12" s="33"/>
      <c r="Q12" s="33"/>
      <c r="R12" s="33" t="s">
        <v>96</v>
      </c>
      <c r="S12" s="33"/>
      <c r="T12" s="33"/>
      <c r="U12" s="33"/>
      <c r="V12" s="33"/>
    </row>
    <row r="13" spans="3:22" x14ac:dyDescent="0.25">
      <c r="H13" s="8">
        <v>1</v>
      </c>
      <c r="I13" s="8">
        <v>2</v>
      </c>
      <c r="J13" s="8">
        <v>3</v>
      </c>
      <c r="K13" s="8">
        <v>4</v>
      </c>
      <c r="L13" s="8">
        <v>5</v>
      </c>
      <c r="M13" s="8">
        <v>6</v>
      </c>
      <c r="N13" s="8">
        <v>7</v>
      </c>
      <c r="O13" s="8">
        <v>8</v>
      </c>
      <c r="P13" s="8">
        <v>9</v>
      </c>
      <c r="Q13" s="8">
        <v>10</v>
      </c>
      <c r="R13" s="8">
        <v>11</v>
      </c>
      <c r="S13" s="8">
        <v>12</v>
      </c>
      <c r="T13" s="8">
        <v>13</v>
      </c>
      <c r="U13" s="8">
        <v>14</v>
      </c>
      <c r="V13" s="8">
        <v>15</v>
      </c>
    </row>
    <row r="14" spans="3:22" x14ac:dyDescent="0.25">
      <c r="C14" s="7" t="s">
        <v>79</v>
      </c>
      <c r="D14" s="8" t="s">
        <v>80</v>
      </c>
      <c r="E14" s="7" t="s">
        <v>81</v>
      </c>
      <c r="F14" s="7" t="s">
        <v>28</v>
      </c>
      <c r="G14" s="12" t="str">
        <f>+G4</f>
        <v>Duración</v>
      </c>
      <c r="H14" s="1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9"/>
    </row>
    <row r="15" spans="3:22" x14ac:dyDescent="0.25">
      <c r="C15" s="7"/>
      <c r="D15" s="8"/>
      <c r="E15" s="7"/>
      <c r="F15" s="7"/>
      <c r="G15" s="12"/>
      <c r="H15" s="20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21"/>
    </row>
    <row r="16" spans="3:22" x14ac:dyDescent="0.25">
      <c r="C16" s="7">
        <v>1</v>
      </c>
      <c r="D16" s="8" t="s">
        <v>82</v>
      </c>
      <c r="E16" s="7" t="s">
        <v>16</v>
      </c>
      <c r="F16" s="7">
        <f>+Excavacion!H43</f>
        <v>12</v>
      </c>
      <c r="G16" s="12">
        <f>+G6</f>
        <v>6</v>
      </c>
      <c r="H16" s="22">
        <f>+F16/G16</f>
        <v>2</v>
      </c>
      <c r="I16" s="23">
        <f>+H16</f>
        <v>2</v>
      </c>
      <c r="J16" s="23">
        <f t="shared" ref="J16:M16" si="0">+I16</f>
        <v>2</v>
      </c>
      <c r="K16" s="23">
        <f t="shared" si="0"/>
        <v>2</v>
      </c>
      <c r="L16" s="23">
        <f t="shared" si="0"/>
        <v>2</v>
      </c>
      <c r="M16" s="23">
        <f t="shared" si="0"/>
        <v>2</v>
      </c>
      <c r="N16" s="16"/>
      <c r="O16" s="16"/>
      <c r="P16" s="16"/>
      <c r="Q16" s="16"/>
      <c r="R16" s="16"/>
      <c r="S16" s="16"/>
      <c r="T16" s="16"/>
      <c r="U16" s="16"/>
      <c r="V16" s="21"/>
    </row>
    <row r="17" spans="3:22" x14ac:dyDescent="0.25">
      <c r="C17" s="7">
        <v>2</v>
      </c>
      <c r="D17" s="8" t="s">
        <v>83</v>
      </c>
      <c r="E17" s="7" t="s">
        <v>16</v>
      </c>
      <c r="F17" s="7">
        <f>+'Instalacion Cable'!H43+'Instalacion Cable'!H44</f>
        <v>6</v>
      </c>
      <c r="G17" s="12">
        <f>+G7</f>
        <v>3</v>
      </c>
      <c r="H17" s="20"/>
      <c r="I17" s="16"/>
      <c r="J17" s="16"/>
      <c r="K17" s="16"/>
      <c r="L17" s="16"/>
      <c r="M17" s="16"/>
      <c r="N17" s="24">
        <f>+F17/G17</f>
        <v>2</v>
      </c>
      <c r="O17" s="24">
        <f>+N17</f>
        <v>2</v>
      </c>
      <c r="P17" s="24">
        <f>+O17</f>
        <v>2</v>
      </c>
      <c r="Q17" s="16"/>
      <c r="R17" s="16"/>
      <c r="S17" s="16"/>
      <c r="T17" s="16"/>
      <c r="U17" s="16"/>
      <c r="V17" s="21"/>
    </row>
    <row r="18" spans="3:22" x14ac:dyDescent="0.25">
      <c r="C18" s="7">
        <v>3</v>
      </c>
      <c r="D18" s="8" t="s">
        <v>84</v>
      </c>
      <c r="E18" s="7" t="s">
        <v>16</v>
      </c>
      <c r="F18" s="7">
        <f>+Relleno!I40+Relleno!I41</f>
        <v>12</v>
      </c>
      <c r="G18" s="12">
        <f>+G8</f>
        <v>4</v>
      </c>
      <c r="H18" s="20"/>
      <c r="I18" s="16"/>
      <c r="J18" s="16"/>
      <c r="K18" s="16"/>
      <c r="L18" s="16"/>
      <c r="M18" s="16"/>
      <c r="N18" s="16"/>
      <c r="O18" s="16"/>
      <c r="P18" s="16"/>
      <c r="Q18" s="24">
        <f>+F18/G18</f>
        <v>3</v>
      </c>
      <c r="R18" s="24">
        <f>+Q18</f>
        <v>3</v>
      </c>
      <c r="S18" s="24">
        <f>+R18</f>
        <v>3</v>
      </c>
      <c r="T18" s="24">
        <f>+S18</f>
        <v>3</v>
      </c>
      <c r="U18" s="16"/>
      <c r="V18" s="21"/>
    </row>
    <row r="19" spans="3:22" x14ac:dyDescent="0.25">
      <c r="C19" s="7">
        <v>4</v>
      </c>
      <c r="D19" s="8" t="s">
        <v>98</v>
      </c>
      <c r="E19" s="7" t="s">
        <v>16</v>
      </c>
      <c r="F19" s="7">
        <v>4</v>
      </c>
      <c r="G19" s="12">
        <f>+G9</f>
        <v>2</v>
      </c>
      <c r="H19" s="20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24">
        <f>+F19/2</f>
        <v>2</v>
      </c>
      <c r="V19" s="25">
        <f>+U19</f>
        <v>2</v>
      </c>
    </row>
    <row r="20" spans="3:22" x14ac:dyDescent="0.25">
      <c r="F20" s="8" t="s">
        <v>85</v>
      </c>
      <c r="G20" s="12">
        <f>+G10</f>
        <v>15</v>
      </c>
      <c r="H20" s="26">
        <f t="shared" ref="H20:V20" si="1">SUM(H16:H19)</f>
        <v>2</v>
      </c>
      <c r="I20" s="27">
        <f t="shared" si="1"/>
        <v>2</v>
      </c>
      <c r="J20" s="27">
        <f t="shared" si="1"/>
        <v>2</v>
      </c>
      <c r="K20" s="27">
        <f t="shared" si="1"/>
        <v>2</v>
      </c>
      <c r="L20" s="27">
        <f t="shared" si="1"/>
        <v>2</v>
      </c>
      <c r="M20" s="27">
        <f t="shared" si="1"/>
        <v>2</v>
      </c>
      <c r="N20" s="27">
        <f t="shared" si="1"/>
        <v>2</v>
      </c>
      <c r="O20" s="27">
        <f t="shared" si="1"/>
        <v>2</v>
      </c>
      <c r="P20" s="27">
        <f t="shared" si="1"/>
        <v>2</v>
      </c>
      <c r="Q20" s="27">
        <f t="shared" si="1"/>
        <v>3</v>
      </c>
      <c r="R20" s="27">
        <f t="shared" si="1"/>
        <v>3</v>
      </c>
      <c r="S20" s="27">
        <f t="shared" si="1"/>
        <v>3</v>
      </c>
      <c r="T20" s="27">
        <f t="shared" si="1"/>
        <v>3</v>
      </c>
      <c r="U20" s="27">
        <f t="shared" si="1"/>
        <v>2</v>
      </c>
      <c r="V20" s="28">
        <f t="shared" si="1"/>
        <v>2</v>
      </c>
    </row>
    <row r="22" spans="3:22" x14ac:dyDescent="0.25">
      <c r="C22" s="11" t="s">
        <v>130</v>
      </c>
      <c r="H22" s="33" t="s">
        <v>94</v>
      </c>
      <c r="I22" s="33"/>
      <c r="J22" s="33"/>
      <c r="K22" s="33"/>
      <c r="L22" s="33"/>
      <c r="M22" s="33" t="s">
        <v>95</v>
      </c>
      <c r="N22" s="33"/>
      <c r="O22" s="33"/>
      <c r="P22" s="33"/>
      <c r="Q22" s="33"/>
      <c r="R22" s="33" t="s">
        <v>96</v>
      </c>
      <c r="S22" s="33"/>
      <c r="T22" s="33"/>
      <c r="U22" s="33"/>
      <c r="V22" s="33"/>
    </row>
    <row r="23" spans="3:22" x14ac:dyDescent="0.25">
      <c r="H23" s="8">
        <v>1</v>
      </c>
      <c r="I23" s="8">
        <v>2</v>
      </c>
      <c r="J23" s="8">
        <v>3</v>
      </c>
      <c r="K23" s="8">
        <v>4</v>
      </c>
      <c r="L23" s="8">
        <v>5</v>
      </c>
      <c r="M23" s="8">
        <v>6</v>
      </c>
      <c r="N23" s="8">
        <v>7</v>
      </c>
      <c r="O23" s="8">
        <v>8</v>
      </c>
      <c r="P23" s="8">
        <v>9</v>
      </c>
      <c r="Q23" s="8">
        <v>10</v>
      </c>
      <c r="R23" s="8">
        <v>11</v>
      </c>
      <c r="S23" s="8">
        <v>12</v>
      </c>
      <c r="T23" s="8">
        <v>13</v>
      </c>
      <c r="U23" s="8">
        <v>14</v>
      </c>
      <c r="V23" s="8">
        <v>15</v>
      </c>
    </row>
    <row r="24" spans="3:22" x14ac:dyDescent="0.25">
      <c r="C24" s="7" t="s">
        <v>79</v>
      </c>
      <c r="D24" s="8" t="s">
        <v>80</v>
      </c>
      <c r="E24" s="7" t="s">
        <v>81</v>
      </c>
      <c r="F24" s="7" t="s">
        <v>28</v>
      </c>
      <c r="G24" s="12"/>
      <c r="H24" s="17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9"/>
    </row>
    <row r="25" spans="3:22" x14ac:dyDescent="0.25">
      <c r="C25" s="7"/>
      <c r="D25" s="8"/>
      <c r="E25" s="7"/>
      <c r="F25" s="7"/>
      <c r="G25" s="12"/>
      <c r="H25" s="20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21"/>
    </row>
    <row r="26" spans="3:22" x14ac:dyDescent="0.25">
      <c r="C26" s="7">
        <v>1</v>
      </c>
      <c r="D26" s="8" t="s">
        <v>87</v>
      </c>
      <c r="E26" s="7" t="s">
        <v>16</v>
      </c>
      <c r="F26" s="29">
        <f>SUM(H26:V26)</f>
        <v>5</v>
      </c>
      <c r="G26" s="12"/>
      <c r="H26" s="20"/>
      <c r="I26" s="16"/>
      <c r="J26" s="16"/>
      <c r="K26" s="16"/>
      <c r="L26" s="16"/>
      <c r="M26" s="16"/>
      <c r="N26" s="16">
        <v>1</v>
      </c>
      <c r="O26" s="16">
        <v>1</v>
      </c>
      <c r="P26" s="16">
        <v>1</v>
      </c>
      <c r="Q26" s="16"/>
      <c r="R26" s="16"/>
      <c r="S26" s="16"/>
      <c r="T26" s="16"/>
      <c r="U26" s="16">
        <v>1</v>
      </c>
      <c r="V26" s="21">
        <v>1</v>
      </c>
    </row>
    <row r="27" spans="3:22" x14ac:dyDescent="0.25">
      <c r="C27" s="7">
        <v>2</v>
      </c>
      <c r="D27" s="8" t="s">
        <v>88</v>
      </c>
      <c r="E27" s="7" t="s">
        <v>16</v>
      </c>
      <c r="F27" s="29">
        <f t="shared" ref="F27:F29" si="2">SUM(H27:V27)</f>
        <v>4</v>
      </c>
      <c r="G27" s="12"/>
      <c r="H27" s="20"/>
      <c r="I27" s="16"/>
      <c r="J27" s="16"/>
      <c r="K27" s="16"/>
      <c r="L27" s="16"/>
      <c r="M27" s="16"/>
      <c r="N27" s="16"/>
      <c r="O27" s="16"/>
      <c r="P27" s="16"/>
      <c r="Q27" s="16">
        <v>1</v>
      </c>
      <c r="R27" s="16">
        <v>1</v>
      </c>
      <c r="S27" s="16">
        <v>1</v>
      </c>
      <c r="T27" s="16">
        <v>1</v>
      </c>
      <c r="U27" s="16"/>
      <c r="V27" s="21"/>
    </row>
    <row r="28" spans="3:22" x14ac:dyDescent="0.25">
      <c r="C28" s="7">
        <v>3</v>
      </c>
      <c r="D28" s="8" t="s">
        <v>51</v>
      </c>
      <c r="E28" s="7" t="s">
        <v>16</v>
      </c>
      <c r="F28" s="29">
        <f t="shared" si="2"/>
        <v>3</v>
      </c>
      <c r="G28" s="12"/>
      <c r="H28" s="20"/>
      <c r="I28" s="16"/>
      <c r="J28" s="16"/>
      <c r="K28" s="16"/>
      <c r="L28" s="16"/>
      <c r="M28" s="16"/>
      <c r="N28" s="16">
        <v>1</v>
      </c>
      <c r="O28" s="16">
        <v>1</v>
      </c>
      <c r="P28" s="16">
        <v>1</v>
      </c>
      <c r="Q28" s="16"/>
      <c r="R28" s="16"/>
      <c r="S28" s="16"/>
      <c r="T28" s="16"/>
      <c r="U28" s="16"/>
      <c r="V28" s="21"/>
    </row>
    <row r="29" spans="3:22" x14ac:dyDescent="0.25">
      <c r="C29" s="7">
        <v>4</v>
      </c>
      <c r="D29" s="8" t="s">
        <v>22</v>
      </c>
      <c r="E29" s="7" t="s">
        <v>16</v>
      </c>
      <c r="F29" s="29">
        <f t="shared" si="2"/>
        <v>22</v>
      </c>
      <c r="G29" s="12"/>
      <c r="H29" s="20">
        <v>2</v>
      </c>
      <c r="I29" s="16">
        <v>2</v>
      </c>
      <c r="J29" s="16">
        <v>2</v>
      </c>
      <c r="K29" s="16">
        <v>2</v>
      </c>
      <c r="L29" s="16">
        <v>2</v>
      </c>
      <c r="M29" s="16">
        <v>2</v>
      </c>
      <c r="N29" s="16"/>
      <c r="O29" s="16"/>
      <c r="P29" s="16"/>
      <c r="Q29" s="16">
        <v>2</v>
      </c>
      <c r="R29" s="16">
        <v>2</v>
      </c>
      <c r="S29" s="16">
        <v>2</v>
      </c>
      <c r="T29" s="16">
        <v>2</v>
      </c>
      <c r="U29" s="16">
        <v>1</v>
      </c>
      <c r="V29" s="21">
        <v>1</v>
      </c>
    </row>
    <row r="30" spans="3:22" x14ac:dyDescent="0.25">
      <c r="F30" s="8"/>
      <c r="G30" s="12"/>
      <c r="H30" s="26">
        <f t="shared" ref="H30:V30" si="3">SUM(H26:H29)</f>
        <v>2</v>
      </c>
      <c r="I30" s="27">
        <f t="shared" si="3"/>
        <v>2</v>
      </c>
      <c r="J30" s="27">
        <f t="shared" si="3"/>
        <v>2</v>
      </c>
      <c r="K30" s="27">
        <f t="shared" si="3"/>
        <v>2</v>
      </c>
      <c r="L30" s="27">
        <f t="shared" si="3"/>
        <v>2</v>
      </c>
      <c r="M30" s="27">
        <f t="shared" si="3"/>
        <v>2</v>
      </c>
      <c r="N30" s="27">
        <f t="shared" si="3"/>
        <v>2</v>
      </c>
      <c r="O30" s="27">
        <f t="shared" si="3"/>
        <v>2</v>
      </c>
      <c r="P30" s="27">
        <f t="shared" si="3"/>
        <v>2</v>
      </c>
      <c r="Q30" s="27">
        <f t="shared" si="3"/>
        <v>3</v>
      </c>
      <c r="R30" s="27">
        <f t="shared" si="3"/>
        <v>3</v>
      </c>
      <c r="S30" s="27">
        <f t="shared" si="3"/>
        <v>3</v>
      </c>
      <c r="T30" s="27">
        <f t="shared" si="3"/>
        <v>3</v>
      </c>
      <c r="U30" s="27">
        <f t="shared" si="3"/>
        <v>2</v>
      </c>
      <c r="V30" s="28">
        <f t="shared" si="3"/>
        <v>2</v>
      </c>
    </row>
    <row r="32" spans="3:22" x14ac:dyDescent="0.25">
      <c r="C32" s="17" t="s">
        <v>131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9"/>
    </row>
    <row r="33" spans="3:22" x14ac:dyDescent="0.25">
      <c r="C33" s="20"/>
      <c r="D33" s="16" t="s">
        <v>132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21"/>
    </row>
    <row r="34" spans="3:22" x14ac:dyDescent="0.25">
      <c r="C34" s="20"/>
      <c r="D34" s="16" t="s">
        <v>99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21"/>
    </row>
    <row r="35" spans="3:22" x14ac:dyDescent="0.25">
      <c r="C35" s="39"/>
      <c r="D35" s="40" t="s">
        <v>100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50"/>
    </row>
    <row r="37" spans="3:22" x14ac:dyDescent="0.25">
      <c r="C37" s="17" t="s">
        <v>101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9"/>
    </row>
    <row r="38" spans="3:22" x14ac:dyDescent="0.25">
      <c r="C38" s="20"/>
      <c r="D38" s="16" t="s">
        <v>102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21"/>
    </row>
    <row r="39" spans="3:22" x14ac:dyDescent="0.25">
      <c r="C39" s="39"/>
      <c r="D39" s="40" t="s">
        <v>103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50"/>
    </row>
    <row r="41" spans="3:22" x14ac:dyDescent="0.25">
      <c r="C41" s="11" t="s">
        <v>126</v>
      </c>
      <c r="H41" s="33" t="s">
        <v>94</v>
      </c>
      <c r="I41" s="33"/>
      <c r="J41" s="33"/>
      <c r="K41" s="33"/>
      <c r="L41" s="33"/>
      <c r="M41" s="33" t="s">
        <v>95</v>
      </c>
      <c r="N41" s="33"/>
      <c r="O41" s="33"/>
      <c r="P41" s="33"/>
      <c r="Q41" s="33"/>
      <c r="R41" s="33" t="s">
        <v>96</v>
      </c>
      <c r="S41" s="33"/>
      <c r="T41" s="33"/>
      <c r="U41" s="33"/>
      <c r="V41" s="33"/>
    </row>
    <row r="42" spans="3:22" x14ac:dyDescent="0.25">
      <c r="H42" s="8">
        <v>1</v>
      </c>
      <c r="I42" s="8">
        <v>2</v>
      </c>
      <c r="J42" s="8">
        <v>3</v>
      </c>
      <c r="K42" s="8">
        <v>4</v>
      </c>
      <c r="L42" s="8">
        <v>5</v>
      </c>
      <c r="M42" s="8">
        <v>6</v>
      </c>
      <c r="N42" s="8">
        <v>7</v>
      </c>
      <c r="O42" s="8">
        <v>8</v>
      </c>
      <c r="P42" s="8">
        <v>9</v>
      </c>
      <c r="Q42" s="8">
        <v>10</v>
      </c>
      <c r="R42" s="8">
        <v>11</v>
      </c>
      <c r="S42" s="8">
        <v>12</v>
      </c>
      <c r="T42" s="8">
        <v>13</v>
      </c>
      <c r="U42" s="8">
        <v>14</v>
      </c>
      <c r="V42" s="8">
        <v>15</v>
      </c>
    </row>
    <row r="43" spans="3:22" x14ac:dyDescent="0.25">
      <c r="C43" s="7" t="s">
        <v>79</v>
      </c>
      <c r="D43" s="8" t="s">
        <v>80</v>
      </c>
      <c r="E43" s="7" t="s">
        <v>81</v>
      </c>
      <c r="F43" s="7" t="s">
        <v>28</v>
      </c>
      <c r="G43" s="12"/>
      <c r="H43" s="17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3:22" x14ac:dyDescent="0.25">
      <c r="C44" s="7"/>
      <c r="D44" s="8"/>
      <c r="E44" s="7"/>
      <c r="F44" s="7"/>
      <c r="G44" s="12"/>
      <c r="H44" s="20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21"/>
    </row>
    <row r="45" spans="3:22" x14ac:dyDescent="0.25">
      <c r="C45" s="7">
        <v>1</v>
      </c>
      <c r="D45" s="8" t="s">
        <v>87</v>
      </c>
      <c r="E45" s="7" t="s">
        <v>16</v>
      </c>
      <c r="F45" s="15">
        <f>SUM(H45:V45)</f>
        <v>9</v>
      </c>
      <c r="G45" s="12"/>
      <c r="H45" s="20"/>
      <c r="I45" s="16"/>
      <c r="J45" s="16"/>
      <c r="K45" s="16"/>
      <c r="L45" s="16"/>
      <c r="M45" s="16"/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>
        <v>1</v>
      </c>
      <c r="T45" s="16">
        <v>1</v>
      </c>
      <c r="U45" s="16">
        <v>1</v>
      </c>
      <c r="V45" s="21">
        <v>1</v>
      </c>
    </row>
    <row r="46" spans="3:22" x14ac:dyDescent="0.25">
      <c r="C46" s="7">
        <v>2</v>
      </c>
      <c r="D46" s="8" t="s">
        <v>22</v>
      </c>
      <c r="E46" s="7" t="s">
        <v>16</v>
      </c>
      <c r="F46" s="15">
        <f>SUM(H46:V46)</f>
        <v>28</v>
      </c>
      <c r="G46" s="12"/>
      <c r="H46" s="20">
        <v>2</v>
      </c>
      <c r="I46" s="16">
        <v>2</v>
      </c>
      <c r="J46" s="16">
        <v>2</v>
      </c>
      <c r="K46" s="16">
        <v>2</v>
      </c>
      <c r="L46" s="16">
        <v>2</v>
      </c>
      <c r="M46" s="16">
        <v>2</v>
      </c>
      <c r="N46" s="16">
        <v>2</v>
      </c>
      <c r="O46" s="16">
        <v>2</v>
      </c>
      <c r="P46" s="16">
        <v>2</v>
      </c>
      <c r="Q46" s="16">
        <v>2</v>
      </c>
      <c r="R46" s="16">
        <v>2</v>
      </c>
      <c r="S46" s="16">
        <v>2</v>
      </c>
      <c r="T46" s="16">
        <v>2</v>
      </c>
      <c r="U46" s="16">
        <v>1</v>
      </c>
      <c r="V46" s="21">
        <v>1</v>
      </c>
    </row>
    <row r="47" spans="3:22" x14ac:dyDescent="0.25">
      <c r="F47" s="15">
        <f>SUM(H47:V47)</f>
        <v>37</v>
      </c>
      <c r="G47" s="8"/>
      <c r="H47" s="26">
        <f t="shared" ref="H47:V47" si="4">SUM(H45:H46)</f>
        <v>2</v>
      </c>
      <c r="I47" s="27">
        <f t="shared" si="4"/>
        <v>2</v>
      </c>
      <c r="J47" s="27">
        <f t="shared" si="4"/>
        <v>2</v>
      </c>
      <c r="K47" s="27">
        <f t="shared" si="4"/>
        <v>2</v>
      </c>
      <c r="L47" s="27">
        <f t="shared" si="4"/>
        <v>2</v>
      </c>
      <c r="M47" s="27">
        <f t="shared" si="4"/>
        <v>2</v>
      </c>
      <c r="N47" s="27">
        <f t="shared" si="4"/>
        <v>3</v>
      </c>
      <c r="O47" s="27">
        <f t="shared" si="4"/>
        <v>3</v>
      </c>
      <c r="P47" s="27">
        <f t="shared" si="4"/>
        <v>3</v>
      </c>
      <c r="Q47" s="27">
        <f t="shared" si="4"/>
        <v>3</v>
      </c>
      <c r="R47" s="27">
        <f t="shared" si="4"/>
        <v>3</v>
      </c>
      <c r="S47" s="27">
        <f t="shared" si="4"/>
        <v>3</v>
      </c>
      <c r="T47" s="27">
        <f t="shared" si="4"/>
        <v>3</v>
      </c>
      <c r="U47" s="27">
        <f t="shared" si="4"/>
        <v>2</v>
      </c>
      <c r="V47" s="28">
        <f t="shared" si="4"/>
        <v>2</v>
      </c>
    </row>
    <row r="49" spans="3:3" x14ac:dyDescent="0.25">
      <c r="C49" t="s">
        <v>105</v>
      </c>
    </row>
    <row r="50" spans="3:3" x14ac:dyDescent="0.25">
      <c r="C50" t="s">
        <v>127</v>
      </c>
    </row>
  </sheetData>
  <mergeCells count="12">
    <mergeCell ref="H2:L2"/>
    <mergeCell ref="M2:Q2"/>
    <mergeCell ref="R2:V2"/>
    <mergeCell ref="H12:L12"/>
    <mergeCell ref="M12:Q12"/>
    <mergeCell ref="R12:V12"/>
    <mergeCell ref="H22:L22"/>
    <mergeCell ref="M22:Q22"/>
    <mergeCell ref="R22:V22"/>
    <mergeCell ref="H41:L41"/>
    <mergeCell ref="M41:Q41"/>
    <mergeCell ref="R41:V4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BFA0-67D5-4744-BCF3-3C8F475690AD}">
  <dimension ref="C2:K54"/>
  <sheetViews>
    <sheetView topLeftCell="A31" workbookViewId="0">
      <selection activeCell="I30" sqref="I30"/>
    </sheetView>
  </sheetViews>
  <sheetFormatPr baseColWidth="10" defaultRowHeight="15" x14ac:dyDescent="0.25"/>
  <sheetData>
    <row r="2" spans="3:11" x14ac:dyDescent="0.25">
      <c r="C2" s="34" t="s">
        <v>133</v>
      </c>
      <c r="D2" s="18"/>
      <c r="E2" s="18"/>
      <c r="F2" s="18"/>
      <c r="G2" s="18"/>
      <c r="H2" s="18"/>
      <c r="I2" s="18"/>
      <c r="J2" s="18"/>
      <c r="K2" s="19"/>
    </row>
    <row r="3" spans="3:11" x14ac:dyDescent="0.25">
      <c r="C3" s="20" t="s">
        <v>47</v>
      </c>
      <c r="D3" s="16"/>
      <c r="E3" s="16"/>
      <c r="F3" s="16"/>
      <c r="G3" s="16"/>
      <c r="H3" s="16"/>
      <c r="I3" s="16"/>
      <c r="J3" s="16"/>
      <c r="K3" s="21"/>
    </row>
    <row r="4" spans="3:11" x14ac:dyDescent="0.25">
      <c r="C4" s="20"/>
      <c r="D4" s="16" t="s">
        <v>20</v>
      </c>
      <c r="E4" s="16"/>
      <c r="F4" s="16"/>
      <c r="G4" s="16"/>
      <c r="H4" s="16"/>
      <c r="I4" s="16"/>
      <c r="J4" s="16"/>
      <c r="K4" s="21"/>
    </row>
    <row r="5" spans="3:11" x14ac:dyDescent="0.25">
      <c r="C5" s="20"/>
      <c r="D5" s="16" t="s">
        <v>21</v>
      </c>
      <c r="E5" s="16" t="s">
        <v>31</v>
      </c>
      <c r="F5" s="16"/>
      <c r="G5" s="16" t="s">
        <v>32</v>
      </c>
      <c r="H5" s="16"/>
      <c r="I5" s="16" t="s">
        <v>26</v>
      </c>
      <c r="J5" s="16"/>
      <c r="K5" s="21"/>
    </row>
    <row r="6" spans="3:11" x14ac:dyDescent="0.25">
      <c r="C6" s="20"/>
      <c r="D6" s="16" t="s">
        <v>48</v>
      </c>
      <c r="E6" s="36">
        <f>+'Instalacion Cable'!E24</f>
        <v>0.06</v>
      </c>
      <c r="F6" s="16" t="s">
        <v>49</v>
      </c>
      <c r="G6" s="37">
        <v>30000</v>
      </c>
      <c r="H6" s="16" t="s">
        <v>23</v>
      </c>
      <c r="I6" s="37">
        <f>+E6*G6</f>
        <v>1800</v>
      </c>
      <c r="J6" s="16" t="s">
        <v>50</v>
      </c>
      <c r="K6" s="21"/>
    </row>
    <row r="7" spans="3:11" x14ac:dyDescent="0.25">
      <c r="C7" s="20"/>
      <c r="D7" s="16" t="s">
        <v>22</v>
      </c>
      <c r="E7" s="36">
        <f>+'Instalacion Cable'!E25*2</f>
        <v>0.12</v>
      </c>
      <c r="F7" s="16" t="str">
        <f>+F6</f>
        <v>HD/ml</v>
      </c>
      <c r="G7" s="37">
        <f>+Excavacion!G34</f>
        <v>18000</v>
      </c>
      <c r="H7" s="16" t="str">
        <f>+H6</f>
        <v>$/HD</v>
      </c>
      <c r="I7" s="37">
        <f>+E7*G7</f>
        <v>2160</v>
      </c>
      <c r="J7" s="16" t="str">
        <f>+J6</f>
        <v>$/ml</v>
      </c>
      <c r="K7" s="21"/>
    </row>
    <row r="8" spans="3:11" x14ac:dyDescent="0.25">
      <c r="C8" s="20"/>
      <c r="D8" s="16"/>
      <c r="E8" s="16"/>
      <c r="F8" s="16"/>
      <c r="G8" s="16"/>
      <c r="H8" s="16" t="s">
        <v>52</v>
      </c>
      <c r="I8" s="37">
        <f>+I7+I6</f>
        <v>3960</v>
      </c>
      <c r="J8" s="16" t="str">
        <f>+J7</f>
        <v>$/ml</v>
      </c>
      <c r="K8" s="21"/>
    </row>
    <row r="9" spans="3:11" x14ac:dyDescent="0.25">
      <c r="C9" s="20"/>
      <c r="D9" s="16"/>
      <c r="E9" s="16"/>
      <c r="F9" s="16"/>
      <c r="G9" s="16"/>
      <c r="H9" s="16"/>
      <c r="I9" s="16"/>
      <c r="J9" s="16"/>
      <c r="K9" s="21"/>
    </row>
    <row r="10" spans="3:11" x14ac:dyDescent="0.25">
      <c r="C10" s="20"/>
      <c r="D10" s="16" t="s">
        <v>53</v>
      </c>
      <c r="E10" s="16"/>
      <c r="F10" s="16"/>
      <c r="G10" s="16"/>
      <c r="H10" s="16"/>
      <c r="I10" s="16"/>
      <c r="J10" s="16"/>
      <c r="K10" s="21"/>
    </row>
    <row r="11" spans="3:11" x14ac:dyDescent="0.25">
      <c r="C11" s="20"/>
      <c r="D11" s="16" t="s">
        <v>54</v>
      </c>
      <c r="E11" s="16"/>
      <c r="F11" s="16"/>
      <c r="G11" s="16"/>
      <c r="H11" s="16"/>
      <c r="I11" s="16"/>
      <c r="J11" s="16"/>
      <c r="K11" s="21"/>
    </row>
    <row r="12" spans="3:11" x14ac:dyDescent="0.25">
      <c r="C12" s="20"/>
      <c r="D12" s="16"/>
      <c r="E12" s="16"/>
      <c r="F12" s="16"/>
      <c r="G12" s="16"/>
      <c r="H12" s="16"/>
      <c r="I12" s="16"/>
      <c r="J12" s="16"/>
      <c r="K12" s="21"/>
    </row>
    <row r="13" spans="3:11" x14ac:dyDescent="0.25">
      <c r="C13" s="20"/>
      <c r="D13" s="16" t="s">
        <v>21</v>
      </c>
      <c r="E13" s="16" t="s">
        <v>31</v>
      </c>
      <c r="F13" s="16"/>
      <c r="G13" s="16" t="s">
        <v>55</v>
      </c>
      <c r="H13" s="16" t="s">
        <v>32</v>
      </c>
      <c r="I13" s="16"/>
      <c r="J13" s="16" t="s">
        <v>26</v>
      </c>
      <c r="K13" s="21"/>
    </row>
    <row r="14" spans="3:11" x14ac:dyDescent="0.25">
      <c r="C14" s="20"/>
      <c r="D14" s="16" t="s">
        <v>56</v>
      </c>
      <c r="E14" s="16">
        <v>1</v>
      </c>
      <c r="F14" s="16" t="s">
        <v>57</v>
      </c>
      <c r="G14" s="16">
        <v>1.06</v>
      </c>
      <c r="H14" s="37">
        <v>5000</v>
      </c>
      <c r="I14" s="16" t="s">
        <v>50</v>
      </c>
      <c r="J14" s="37">
        <f>+E14*G14*H14</f>
        <v>5300</v>
      </c>
      <c r="K14" s="21" t="s">
        <v>50</v>
      </c>
    </row>
    <row r="15" spans="3:11" x14ac:dyDescent="0.25">
      <c r="C15" s="20"/>
      <c r="D15" s="16"/>
      <c r="E15" s="16"/>
      <c r="F15" s="16"/>
      <c r="G15" s="16"/>
      <c r="H15" s="37"/>
      <c r="I15" s="16"/>
      <c r="J15" s="37"/>
      <c r="K15" s="21"/>
    </row>
    <row r="16" spans="3:11" x14ac:dyDescent="0.25">
      <c r="C16" s="20"/>
      <c r="D16" s="16"/>
      <c r="E16" s="16"/>
      <c r="F16" s="16"/>
      <c r="G16" s="16"/>
      <c r="H16" s="37" t="s">
        <v>58</v>
      </c>
      <c r="I16" s="16"/>
      <c r="J16" s="37">
        <f>+J14+I8</f>
        <v>9260</v>
      </c>
      <c r="K16" s="21" t="s">
        <v>50</v>
      </c>
    </row>
    <row r="17" spans="3:11" x14ac:dyDescent="0.25">
      <c r="C17" s="20"/>
      <c r="D17" s="16"/>
      <c r="E17" s="16"/>
      <c r="F17" s="16"/>
      <c r="G17" s="16"/>
      <c r="H17" s="16"/>
      <c r="I17" s="16"/>
      <c r="J17" s="16"/>
      <c r="K17" s="21"/>
    </row>
    <row r="18" spans="3:11" ht="15.75" x14ac:dyDescent="0.25">
      <c r="C18" s="51" t="s">
        <v>25</v>
      </c>
      <c r="D18" s="16"/>
      <c r="E18" s="16"/>
      <c r="F18" s="16"/>
      <c r="G18" s="16"/>
      <c r="H18" s="16"/>
      <c r="I18" s="16"/>
      <c r="J18" s="16"/>
      <c r="K18" s="21"/>
    </row>
    <row r="19" spans="3:11" x14ac:dyDescent="0.25">
      <c r="C19" s="20"/>
      <c r="D19" s="16" t="s">
        <v>26</v>
      </c>
      <c r="E19" s="16"/>
      <c r="F19" s="16" t="s">
        <v>28</v>
      </c>
      <c r="G19" s="16"/>
      <c r="H19" s="16" t="s">
        <v>29</v>
      </c>
      <c r="I19" s="16"/>
      <c r="J19" s="16"/>
      <c r="K19" s="21"/>
    </row>
    <row r="20" spans="3:11" x14ac:dyDescent="0.25">
      <c r="C20" s="20"/>
      <c r="D20" s="37">
        <f>+J16</f>
        <v>9260</v>
      </c>
      <c r="E20" s="16" t="str">
        <f>+K16</f>
        <v>$/ml</v>
      </c>
      <c r="F20" s="16">
        <v>50</v>
      </c>
      <c r="G20" s="16"/>
      <c r="H20" s="37">
        <f>+F20*D20</f>
        <v>463000</v>
      </c>
      <c r="I20" s="16" t="s">
        <v>30</v>
      </c>
      <c r="J20" s="16"/>
      <c r="K20" s="21"/>
    </row>
    <row r="21" spans="3:11" x14ac:dyDescent="0.25">
      <c r="C21" s="20"/>
      <c r="D21" s="16"/>
      <c r="E21" s="16"/>
      <c r="F21" s="16"/>
      <c r="G21" s="16"/>
      <c r="H21" s="16"/>
      <c r="I21" s="16"/>
      <c r="J21" s="16"/>
      <c r="K21" s="21"/>
    </row>
    <row r="22" spans="3:11" ht="15.75" x14ac:dyDescent="0.25">
      <c r="C22" s="51" t="s">
        <v>114</v>
      </c>
      <c r="D22" s="16"/>
      <c r="E22" s="16"/>
      <c r="F22" s="16"/>
      <c r="G22" s="16"/>
      <c r="H22" s="16"/>
      <c r="I22" s="16"/>
      <c r="J22" s="16"/>
      <c r="K22" s="21"/>
    </row>
    <row r="23" spans="3:11" x14ac:dyDescent="0.25">
      <c r="C23" s="20"/>
      <c r="D23" s="16"/>
      <c r="E23" s="16"/>
      <c r="F23" s="16"/>
      <c r="G23" s="16"/>
      <c r="H23" s="16"/>
      <c r="I23" s="16"/>
      <c r="J23" s="16"/>
      <c r="K23" s="21"/>
    </row>
    <row r="24" spans="3:11" x14ac:dyDescent="0.25">
      <c r="C24" s="20"/>
      <c r="D24" s="16" t="s">
        <v>31</v>
      </c>
      <c r="E24" s="16"/>
      <c r="F24" s="16" t="s">
        <v>28</v>
      </c>
      <c r="G24" s="16"/>
      <c r="H24" s="16" t="s">
        <v>34</v>
      </c>
      <c r="I24" s="16"/>
      <c r="J24" s="16"/>
      <c r="K24" s="21"/>
    </row>
    <row r="25" spans="3:11" x14ac:dyDescent="0.25">
      <c r="C25" s="20" t="str">
        <f>+D6</f>
        <v>Maestro 1ra.</v>
      </c>
      <c r="D25" s="36">
        <f>+E6</f>
        <v>0.06</v>
      </c>
      <c r="E25" s="36" t="str">
        <f t="shared" ref="E25:E26" si="0">+F6</f>
        <v>HD/ml</v>
      </c>
      <c r="F25" s="16">
        <v>50</v>
      </c>
      <c r="G25" s="16" t="s">
        <v>77</v>
      </c>
      <c r="H25" s="36">
        <f>+F25*D25</f>
        <v>3</v>
      </c>
      <c r="I25" s="16" t="s">
        <v>16</v>
      </c>
      <c r="J25" s="16"/>
      <c r="K25" s="21"/>
    </row>
    <row r="26" spans="3:11" x14ac:dyDescent="0.25">
      <c r="C26" s="20" t="str">
        <f>+D7</f>
        <v>Jornal</v>
      </c>
      <c r="D26" s="36">
        <f t="shared" ref="D26" si="1">+E7</f>
        <v>0.12</v>
      </c>
      <c r="E26" s="36" t="str">
        <f t="shared" si="0"/>
        <v>HD/ml</v>
      </c>
      <c r="F26" s="16">
        <v>50</v>
      </c>
      <c r="G26" s="16" t="s">
        <v>77</v>
      </c>
      <c r="H26" s="36">
        <f t="shared" ref="H26:H27" si="2">+F26*D26</f>
        <v>6</v>
      </c>
      <c r="I26" s="16" t="s">
        <v>16</v>
      </c>
      <c r="J26" s="16"/>
      <c r="K26" s="21"/>
    </row>
    <row r="27" spans="3:11" x14ac:dyDescent="0.25">
      <c r="C27" s="20" t="str">
        <f>+D14</f>
        <v>Cable elect.</v>
      </c>
      <c r="D27" s="16">
        <f>+E14*G14</f>
        <v>1.06</v>
      </c>
      <c r="E27" s="16" t="str">
        <f t="shared" ref="E27" si="3">+F14</f>
        <v>ml/ml</v>
      </c>
      <c r="F27" s="16">
        <v>50</v>
      </c>
      <c r="G27" s="16" t="s">
        <v>77</v>
      </c>
      <c r="H27" s="36">
        <f t="shared" si="2"/>
        <v>53</v>
      </c>
      <c r="I27" s="16" t="s">
        <v>77</v>
      </c>
      <c r="J27" s="16"/>
      <c r="K27" s="21"/>
    </row>
    <row r="28" spans="3:11" x14ac:dyDescent="0.25">
      <c r="C28" s="39"/>
      <c r="D28" s="40"/>
      <c r="E28" s="40"/>
      <c r="F28" s="40"/>
      <c r="G28" s="40"/>
      <c r="H28" s="40"/>
      <c r="I28" s="40"/>
      <c r="J28" s="40"/>
      <c r="K28" s="50"/>
    </row>
    <row r="30" spans="3:11" x14ac:dyDescent="0.25">
      <c r="C30" s="34" t="s">
        <v>134</v>
      </c>
      <c r="D30" s="18"/>
      <c r="E30" s="18"/>
      <c r="F30" s="18"/>
      <c r="G30" s="18"/>
      <c r="H30" s="18"/>
      <c r="I30" s="18"/>
      <c r="J30" s="18"/>
      <c r="K30" s="19"/>
    </row>
    <row r="31" spans="3:11" x14ac:dyDescent="0.25">
      <c r="C31" s="20" t="s">
        <v>20</v>
      </c>
      <c r="D31" s="16"/>
      <c r="E31" s="16"/>
      <c r="F31" s="16"/>
      <c r="G31" s="16"/>
      <c r="H31" s="16"/>
      <c r="I31" s="16"/>
      <c r="J31" s="16"/>
      <c r="K31" s="21"/>
    </row>
    <row r="32" spans="3:11" x14ac:dyDescent="0.25">
      <c r="C32" s="20" t="s">
        <v>21</v>
      </c>
      <c r="D32" s="16" t="s">
        <v>31</v>
      </c>
      <c r="E32" s="16"/>
      <c r="F32" s="16" t="s">
        <v>32</v>
      </c>
      <c r="G32" s="16"/>
      <c r="H32" s="16" t="s">
        <v>26</v>
      </c>
      <c r="I32" s="16"/>
      <c r="J32" s="16"/>
      <c r="K32" s="21"/>
    </row>
    <row r="33" spans="3:11" x14ac:dyDescent="0.25">
      <c r="C33" s="20" t="str">
        <f>+C25</f>
        <v>Maestro 1ra.</v>
      </c>
      <c r="D33" s="36">
        <f>+Relleno!E40</f>
        <v>0.16666666666666666</v>
      </c>
      <c r="E33" s="16" t="s">
        <v>19</v>
      </c>
      <c r="F33" s="37">
        <f>+'Instalacion Cable'!G24</f>
        <v>30000</v>
      </c>
      <c r="G33" s="16" t="s">
        <v>23</v>
      </c>
      <c r="H33" s="37">
        <f>+F33*D33</f>
        <v>5000</v>
      </c>
      <c r="I33" s="16" t="s">
        <v>24</v>
      </c>
      <c r="J33" s="16"/>
      <c r="K33" s="21"/>
    </row>
    <row r="34" spans="3:11" x14ac:dyDescent="0.25">
      <c r="C34" s="20" t="str">
        <f>+C26</f>
        <v>Jornal</v>
      </c>
      <c r="D34" s="36">
        <f>+Relleno!E41</f>
        <v>0.33333333333333331</v>
      </c>
      <c r="E34" s="16" t="s">
        <v>19</v>
      </c>
      <c r="F34" s="37">
        <v>18000</v>
      </c>
      <c r="G34" s="16" t="s">
        <v>23</v>
      </c>
      <c r="H34" s="37">
        <f>+F34*D34</f>
        <v>6000</v>
      </c>
      <c r="I34" s="16" t="s">
        <v>24</v>
      </c>
      <c r="J34" s="16"/>
      <c r="K34" s="21"/>
    </row>
    <row r="35" spans="3:11" x14ac:dyDescent="0.25">
      <c r="C35" s="20"/>
      <c r="D35" s="16"/>
      <c r="E35" s="16"/>
      <c r="F35" s="16"/>
      <c r="G35" s="16" t="s">
        <v>72</v>
      </c>
      <c r="H35" s="37">
        <f>+H34+H33</f>
        <v>11000</v>
      </c>
      <c r="I35" s="16" t="s">
        <v>24</v>
      </c>
      <c r="J35" s="16"/>
      <c r="K35" s="21"/>
    </row>
    <row r="36" spans="3:11" x14ac:dyDescent="0.25">
      <c r="C36" s="20"/>
      <c r="D36" s="16"/>
      <c r="E36" s="16"/>
      <c r="F36" s="16"/>
      <c r="G36" s="16"/>
      <c r="H36" s="37"/>
      <c r="I36" s="16"/>
      <c r="J36" s="16"/>
      <c r="K36" s="21"/>
    </row>
    <row r="37" spans="3:11" x14ac:dyDescent="0.25">
      <c r="C37" s="20" t="s">
        <v>73</v>
      </c>
      <c r="D37" s="16"/>
      <c r="E37" s="16"/>
      <c r="F37" s="16"/>
      <c r="G37" s="16"/>
      <c r="H37" s="37"/>
      <c r="I37" s="16"/>
      <c r="J37" s="16"/>
      <c r="K37" s="21"/>
    </row>
    <row r="38" spans="3:11" x14ac:dyDescent="0.25">
      <c r="C38" s="20"/>
      <c r="D38" s="16" t="s">
        <v>74</v>
      </c>
      <c r="E38" s="16"/>
      <c r="F38" s="16"/>
      <c r="G38" s="16"/>
      <c r="H38" s="37"/>
      <c r="I38" s="16"/>
      <c r="J38" s="16"/>
      <c r="K38" s="21"/>
    </row>
    <row r="39" spans="3:11" x14ac:dyDescent="0.25">
      <c r="C39" s="20"/>
      <c r="D39" s="16"/>
      <c r="E39" s="16"/>
      <c r="F39" s="16"/>
      <c r="G39" s="16"/>
      <c r="H39" s="37"/>
      <c r="I39" s="16"/>
      <c r="J39" s="16"/>
      <c r="K39" s="21"/>
    </row>
    <row r="40" spans="3:11" x14ac:dyDescent="0.25">
      <c r="C40" s="20" t="s">
        <v>21</v>
      </c>
      <c r="D40" s="16" t="s">
        <v>31</v>
      </c>
      <c r="E40" s="16"/>
      <c r="F40" s="16" t="s">
        <v>32</v>
      </c>
      <c r="G40" s="16"/>
      <c r="H40" s="37" t="s">
        <v>26</v>
      </c>
      <c r="I40" s="16"/>
      <c r="J40" s="16"/>
      <c r="K40" s="21"/>
    </row>
    <row r="41" spans="3:11" x14ac:dyDescent="0.25">
      <c r="C41" s="20" t="s">
        <v>75</v>
      </c>
      <c r="D41" s="36">
        <f>+Relleno!E30</f>
        <v>0.16666666666666666</v>
      </c>
      <c r="E41" s="16" t="s">
        <v>120</v>
      </c>
      <c r="F41" s="37">
        <f>100000/7</f>
        <v>14285.714285714286</v>
      </c>
      <c r="G41" s="16" t="s">
        <v>121</v>
      </c>
      <c r="H41" s="37">
        <f>+F41*D41</f>
        <v>2380.9523809523807</v>
      </c>
      <c r="I41" s="16" t="s">
        <v>24</v>
      </c>
      <c r="J41" s="16"/>
      <c r="K41" s="21"/>
    </row>
    <row r="42" spans="3:11" x14ac:dyDescent="0.25">
      <c r="C42" s="20"/>
      <c r="D42" s="16"/>
      <c r="E42" s="16"/>
      <c r="F42" s="16"/>
      <c r="G42" s="16"/>
      <c r="H42" s="16"/>
      <c r="I42" s="16"/>
      <c r="J42" s="16"/>
      <c r="K42" s="21"/>
    </row>
    <row r="43" spans="3:11" x14ac:dyDescent="0.25">
      <c r="C43" s="20"/>
      <c r="D43" s="16"/>
      <c r="E43" s="16"/>
      <c r="F43" s="16"/>
      <c r="G43" s="16"/>
      <c r="H43" s="16"/>
      <c r="I43" s="16"/>
      <c r="J43" s="16"/>
      <c r="K43" s="21"/>
    </row>
    <row r="44" spans="3:11" x14ac:dyDescent="0.25">
      <c r="C44" s="20"/>
      <c r="D44" s="16"/>
      <c r="E44" s="16"/>
      <c r="F44" s="16"/>
      <c r="G44" s="16" t="s">
        <v>72</v>
      </c>
      <c r="H44" s="37">
        <f>+H41+H35</f>
        <v>13380.952380952382</v>
      </c>
      <c r="I44" s="16" t="s">
        <v>24</v>
      </c>
      <c r="J44" s="16"/>
      <c r="K44" s="21"/>
    </row>
    <row r="45" spans="3:11" x14ac:dyDescent="0.25">
      <c r="C45" s="20"/>
      <c r="D45" s="16"/>
      <c r="E45" s="16"/>
      <c r="F45" s="16"/>
      <c r="G45" s="16"/>
      <c r="H45" s="16"/>
      <c r="I45" s="16"/>
      <c r="J45" s="16"/>
      <c r="K45" s="21"/>
    </row>
    <row r="46" spans="3:11" x14ac:dyDescent="0.25">
      <c r="C46" s="20"/>
      <c r="D46" s="16"/>
      <c r="E46" s="16"/>
      <c r="F46" s="16"/>
      <c r="G46" s="16" t="s">
        <v>76</v>
      </c>
      <c r="H46" s="37">
        <f>+H44*24</f>
        <v>321142.85714285716</v>
      </c>
      <c r="I46" s="16" t="str">
        <f>+I44</f>
        <v>$/m3</v>
      </c>
      <c r="J46" s="16"/>
      <c r="K46" s="21"/>
    </row>
    <row r="47" spans="3:11" x14ac:dyDescent="0.25">
      <c r="C47" s="20"/>
      <c r="D47" s="16"/>
      <c r="E47" s="16"/>
      <c r="F47" s="16"/>
      <c r="G47" s="16"/>
      <c r="H47" s="16"/>
      <c r="I47" s="16"/>
      <c r="J47" s="16"/>
      <c r="K47" s="21"/>
    </row>
    <row r="48" spans="3:11" ht="15.75" x14ac:dyDescent="0.25">
      <c r="C48" s="51" t="s">
        <v>114</v>
      </c>
      <c r="D48" s="16"/>
      <c r="E48" s="16"/>
      <c r="F48" s="16"/>
      <c r="G48" s="16"/>
      <c r="H48" s="16"/>
      <c r="I48" s="16"/>
      <c r="J48" s="16"/>
      <c r="K48" s="21"/>
    </row>
    <row r="49" spans="3:11" x14ac:dyDescent="0.25">
      <c r="C49" s="20"/>
      <c r="D49" s="16"/>
      <c r="E49" s="16"/>
      <c r="F49" s="16"/>
      <c r="G49" s="16"/>
      <c r="H49" s="16"/>
      <c r="I49" s="16"/>
      <c r="J49" s="16"/>
      <c r="K49" s="21"/>
    </row>
    <row r="50" spans="3:11" x14ac:dyDescent="0.25">
      <c r="C50" s="20"/>
      <c r="D50" s="16" t="s">
        <v>31</v>
      </c>
      <c r="E50" s="16"/>
      <c r="F50" s="16" t="s">
        <v>28</v>
      </c>
      <c r="G50" s="16"/>
      <c r="H50" s="16" t="s">
        <v>34</v>
      </c>
      <c r="I50" s="16"/>
      <c r="J50" s="16"/>
      <c r="K50" s="21"/>
    </row>
    <row r="51" spans="3:11" x14ac:dyDescent="0.25">
      <c r="C51" s="20" t="str">
        <f>+C33</f>
        <v>Maestro 1ra.</v>
      </c>
      <c r="D51" s="36">
        <f>+D33</f>
        <v>0.16666666666666666</v>
      </c>
      <c r="E51" s="16" t="str">
        <f>+E33</f>
        <v>HD/m3</v>
      </c>
      <c r="F51" s="16">
        <v>24</v>
      </c>
      <c r="G51" s="16" t="s">
        <v>7</v>
      </c>
      <c r="H51" s="36">
        <f>+F51*D51</f>
        <v>4</v>
      </c>
      <c r="I51" s="16" t="s">
        <v>16</v>
      </c>
      <c r="J51" s="16"/>
      <c r="K51" s="21"/>
    </row>
    <row r="52" spans="3:11" x14ac:dyDescent="0.25">
      <c r="C52" s="20" t="str">
        <f>+C34</f>
        <v>Jornal</v>
      </c>
      <c r="D52" s="36">
        <f>+D34</f>
        <v>0.33333333333333331</v>
      </c>
      <c r="E52" s="16" t="str">
        <f>+E51</f>
        <v>HD/m3</v>
      </c>
      <c r="F52" s="16">
        <v>24</v>
      </c>
      <c r="G52" s="16" t="s">
        <v>7</v>
      </c>
      <c r="H52" s="36">
        <f t="shared" ref="H52:H53" si="4">+F52*D52</f>
        <v>8</v>
      </c>
      <c r="I52" s="16" t="s">
        <v>16</v>
      </c>
      <c r="J52" s="16"/>
      <c r="K52" s="21"/>
    </row>
    <row r="53" spans="3:11" x14ac:dyDescent="0.25">
      <c r="C53" s="20" t="str">
        <f>+C41</f>
        <v>Compactador</v>
      </c>
      <c r="D53" s="36">
        <f>+D41</f>
        <v>0.16666666666666666</v>
      </c>
      <c r="E53" s="16" t="str">
        <f>+E41</f>
        <v>día/m3</v>
      </c>
      <c r="F53" s="16">
        <v>24</v>
      </c>
      <c r="G53" s="16" t="s">
        <v>7</v>
      </c>
      <c r="H53" s="36">
        <f t="shared" si="4"/>
        <v>4</v>
      </c>
      <c r="I53" s="16" t="s">
        <v>14</v>
      </c>
      <c r="J53" s="16"/>
      <c r="K53" s="21"/>
    </row>
    <row r="54" spans="3:11" x14ac:dyDescent="0.25">
      <c r="C54" s="39"/>
      <c r="D54" s="40"/>
      <c r="E54" s="40"/>
      <c r="F54" s="40"/>
      <c r="G54" s="40"/>
      <c r="H54" s="40"/>
      <c r="I54" s="40"/>
      <c r="J54" s="40"/>
      <c r="K54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FC3D1-CF5E-4529-BB6A-90F4340AB1A1}">
  <dimension ref="C2:Q34"/>
  <sheetViews>
    <sheetView topLeftCell="A5" zoomScale="85" zoomScaleNormal="85" workbookViewId="0">
      <selection activeCell="R13" sqref="R13"/>
    </sheetView>
  </sheetViews>
  <sheetFormatPr baseColWidth="10" defaultRowHeight="15" x14ac:dyDescent="0.25"/>
  <cols>
    <col min="4" max="4" width="17.7109375" bestFit="1" customWidth="1"/>
    <col min="9" max="9" width="14.28515625" bestFit="1" customWidth="1"/>
  </cols>
  <sheetData>
    <row r="2" spans="3:17" x14ac:dyDescent="0.25">
      <c r="C2" s="30" t="s">
        <v>78</v>
      </c>
      <c r="D2" s="31"/>
      <c r="E2" s="31"/>
      <c r="F2" s="31"/>
      <c r="G2" s="31"/>
      <c r="H2" s="32"/>
    </row>
    <row r="4" spans="3:17" x14ac:dyDescent="0.25">
      <c r="C4" s="7" t="s">
        <v>79</v>
      </c>
      <c r="D4" s="8" t="s">
        <v>80</v>
      </c>
      <c r="E4" s="7" t="s">
        <v>81</v>
      </c>
      <c r="F4" s="7" t="s">
        <v>28</v>
      </c>
      <c r="G4" s="7" t="s">
        <v>26</v>
      </c>
      <c r="H4" s="7" t="s">
        <v>29</v>
      </c>
      <c r="I4" s="13" t="s">
        <v>124</v>
      </c>
    </row>
    <row r="5" spans="3:17" x14ac:dyDescent="0.25">
      <c r="C5" s="7"/>
      <c r="D5" s="8"/>
      <c r="E5" s="7"/>
      <c r="F5" s="7"/>
      <c r="G5" s="8"/>
      <c r="H5" s="8"/>
      <c r="I5" s="14"/>
    </row>
    <row r="6" spans="3:17" x14ac:dyDescent="0.25">
      <c r="C6" s="7">
        <v>1</v>
      </c>
      <c r="D6" s="8" t="s">
        <v>82</v>
      </c>
      <c r="E6" s="7" t="s">
        <v>7</v>
      </c>
      <c r="F6" s="7">
        <v>24</v>
      </c>
      <c r="G6" s="9">
        <f>+Excavacion!I34</f>
        <v>9000</v>
      </c>
      <c r="H6" s="9">
        <f>+F6*G6</f>
        <v>216000</v>
      </c>
      <c r="I6" s="14">
        <f>+Excavacion!H23</f>
        <v>6</v>
      </c>
    </row>
    <row r="7" spans="3:17" x14ac:dyDescent="0.25">
      <c r="C7" s="7">
        <v>2</v>
      </c>
      <c r="D7" s="8" t="s">
        <v>83</v>
      </c>
      <c r="E7" s="7" t="s">
        <v>77</v>
      </c>
      <c r="F7" s="7">
        <v>50</v>
      </c>
      <c r="G7" s="9">
        <f>+'Correccion Precios'!J16</f>
        <v>9260</v>
      </c>
      <c r="H7" s="9">
        <f t="shared" ref="H7:H9" si="0">+F7*G7</f>
        <v>463000</v>
      </c>
      <c r="I7" s="14">
        <v>3</v>
      </c>
    </row>
    <row r="8" spans="3:17" x14ac:dyDescent="0.25">
      <c r="C8" s="7">
        <v>3</v>
      </c>
      <c r="D8" s="8" t="s">
        <v>84</v>
      </c>
      <c r="E8" s="7" t="s">
        <v>7</v>
      </c>
      <c r="F8" s="7">
        <v>24</v>
      </c>
      <c r="G8" s="9">
        <f>+'Correccion Precios'!H44</f>
        <v>13380.952380952382</v>
      </c>
      <c r="H8" s="9">
        <f t="shared" si="0"/>
        <v>321142.85714285716</v>
      </c>
      <c r="I8" s="14">
        <v>4</v>
      </c>
    </row>
    <row r="9" spans="3:17" x14ac:dyDescent="0.25">
      <c r="C9" s="7">
        <v>4</v>
      </c>
      <c r="D9" s="8" t="s">
        <v>125</v>
      </c>
      <c r="E9" s="7" t="s">
        <v>104</v>
      </c>
      <c r="F9" s="7">
        <v>1</v>
      </c>
      <c r="G9" s="9">
        <f>+'Presupuesto Inicial'!G9</f>
        <v>96000</v>
      </c>
      <c r="H9" s="9">
        <f t="shared" si="0"/>
        <v>96000</v>
      </c>
      <c r="I9" s="14">
        <v>2</v>
      </c>
    </row>
    <row r="10" spans="3:17" x14ac:dyDescent="0.25">
      <c r="G10" s="10" t="s">
        <v>85</v>
      </c>
      <c r="H10" s="10">
        <f>SUM(H6:H9)</f>
        <v>1096142.8571428573</v>
      </c>
      <c r="I10" s="14">
        <f>SUM(I6:I9)</f>
        <v>15</v>
      </c>
    </row>
    <row r="13" spans="3:17" x14ac:dyDescent="0.25">
      <c r="C13" s="34" t="s">
        <v>86</v>
      </c>
      <c r="D13" s="18"/>
      <c r="E13" s="18"/>
      <c r="F13" s="18"/>
      <c r="G13" s="18"/>
      <c r="H13" s="19"/>
      <c r="J13" s="34" t="s">
        <v>122</v>
      </c>
      <c r="K13" s="18"/>
      <c r="L13" s="18"/>
      <c r="M13" s="18"/>
      <c r="N13" s="18"/>
      <c r="O13" s="18"/>
      <c r="P13" s="18"/>
      <c r="Q13" s="19"/>
    </row>
    <row r="14" spans="3:17" x14ac:dyDescent="0.25">
      <c r="C14" s="20"/>
      <c r="D14" s="16"/>
      <c r="E14" s="16"/>
      <c r="F14" s="16"/>
      <c r="G14" s="16"/>
      <c r="H14" s="21"/>
      <c r="J14" s="20"/>
      <c r="K14" s="16"/>
      <c r="L14" s="16"/>
      <c r="M14" s="16"/>
      <c r="N14" s="16"/>
      <c r="O14" s="16"/>
      <c r="P14" s="16"/>
      <c r="Q14" s="21"/>
    </row>
    <row r="15" spans="3:17" x14ac:dyDescent="0.25">
      <c r="C15" s="35" t="s">
        <v>20</v>
      </c>
      <c r="D15" s="16"/>
      <c r="E15" s="16"/>
      <c r="F15" s="16"/>
      <c r="G15" s="16"/>
      <c r="H15" s="21"/>
      <c r="J15" s="20"/>
      <c r="K15" s="16"/>
      <c r="L15" s="16"/>
      <c r="M15" s="16"/>
      <c r="N15" s="16"/>
      <c r="O15" s="16"/>
      <c r="P15" s="16"/>
      <c r="Q15" s="21"/>
    </row>
    <row r="16" spans="3:17" x14ac:dyDescent="0.25">
      <c r="C16" s="20"/>
      <c r="D16" s="16"/>
      <c r="E16" s="16"/>
      <c r="F16" s="16"/>
      <c r="G16" s="16"/>
      <c r="H16" s="21"/>
      <c r="J16" s="20"/>
      <c r="K16" s="16"/>
      <c r="L16" s="16"/>
      <c r="M16" s="16"/>
      <c r="N16" s="16"/>
      <c r="O16" s="16"/>
      <c r="P16" s="16"/>
      <c r="Q16" s="21"/>
    </row>
    <row r="17" spans="3:17" x14ac:dyDescent="0.25">
      <c r="C17" s="20" t="s">
        <v>80</v>
      </c>
      <c r="D17" s="16" t="s">
        <v>28</v>
      </c>
      <c r="E17" s="16" t="s">
        <v>81</v>
      </c>
      <c r="F17" s="16" t="s">
        <v>26</v>
      </c>
      <c r="G17" s="16"/>
      <c r="H17" s="21" t="s">
        <v>29</v>
      </c>
      <c r="J17" s="20" t="s">
        <v>80</v>
      </c>
      <c r="K17" s="16" t="s">
        <v>28</v>
      </c>
      <c r="L17" s="16" t="s">
        <v>81</v>
      </c>
      <c r="M17" s="16" t="s">
        <v>26</v>
      </c>
      <c r="N17" s="16"/>
      <c r="O17" s="16" t="s">
        <v>29</v>
      </c>
      <c r="P17" s="44" t="s">
        <v>91</v>
      </c>
      <c r="Q17" s="45" t="s">
        <v>92</v>
      </c>
    </row>
    <row r="18" spans="3:17" x14ac:dyDescent="0.25">
      <c r="C18" s="20"/>
      <c r="D18" s="16"/>
      <c r="E18" s="16"/>
      <c r="F18" s="16"/>
      <c r="G18" s="16"/>
      <c r="H18" s="21"/>
      <c r="J18" s="20"/>
      <c r="K18" s="16"/>
      <c r="L18" s="16"/>
      <c r="M18" s="16"/>
      <c r="N18" s="16"/>
      <c r="O18" s="16"/>
      <c r="P18" s="16"/>
      <c r="Q18" s="21"/>
    </row>
    <row r="19" spans="3:17" x14ac:dyDescent="0.25">
      <c r="C19" s="20" t="s">
        <v>87</v>
      </c>
      <c r="D19" s="36">
        <f>+'Analisis de Recursos'!F45</f>
        <v>9</v>
      </c>
      <c r="E19" s="16" t="s">
        <v>16</v>
      </c>
      <c r="F19" s="37">
        <v>30000</v>
      </c>
      <c r="G19" s="37" t="s">
        <v>23</v>
      </c>
      <c r="H19" s="38">
        <f>+D19*F19</f>
        <v>270000</v>
      </c>
      <c r="J19" s="20" t="str">
        <f>+C20</f>
        <v>Jornal</v>
      </c>
      <c r="K19" s="36">
        <f>+D20</f>
        <v>28</v>
      </c>
      <c r="L19" s="16" t="str">
        <f>+E20</f>
        <v>HD</v>
      </c>
      <c r="M19" s="46">
        <f>+F20</f>
        <v>18000</v>
      </c>
      <c r="N19" s="46" t="str">
        <f>+G20</f>
        <v>$/HD</v>
      </c>
      <c r="O19" s="46">
        <f>+K19*M19</f>
        <v>504000</v>
      </c>
      <c r="P19" s="47">
        <f>+O19/$O$24</f>
        <v>0.45979408314870329</v>
      </c>
      <c r="Q19" s="48">
        <f>+P19</f>
        <v>0.45979408314870329</v>
      </c>
    </row>
    <row r="20" spans="3:17" x14ac:dyDescent="0.25">
      <c r="C20" s="20" t="s">
        <v>22</v>
      </c>
      <c r="D20" s="36">
        <f>+'Analisis de Recursos'!F46</f>
        <v>28</v>
      </c>
      <c r="E20" s="16" t="s">
        <v>16</v>
      </c>
      <c r="F20" s="37">
        <f>+'Presupuesto Inicial'!F22</f>
        <v>18000</v>
      </c>
      <c r="G20" s="37" t="s">
        <v>23</v>
      </c>
      <c r="H20" s="38">
        <f>+D20*F20</f>
        <v>504000</v>
      </c>
      <c r="J20" s="20" t="str">
        <f>+C19</f>
        <v>Maestro 1ra</v>
      </c>
      <c r="K20" s="36">
        <f>+D19</f>
        <v>9</v>
      </c>
      <c r="L20" s="16" t="str">
        <f>+E20</f>
        <v>HD</v>
      </c>
      <c r="M20" s="46">
        <f>+F19</f>
        <v>30000</v>
      </c>
      <c r="N20" s="46" t="str">
        <f>+N19</f>
        <v>$/HD</v>
      </c>
      <c r="O20" s="46">
        <f>+M20*K20</f>
        <v>270000</v>
      </c>
      <c r="P20" s="47">
        <f>+O20/$O$24</f>
        <v>0.24631825882966246</v>
      </c>
      <c r="Q20" s="48">
        <f>+P20+Q19</f>
        <v>0.7061123419783657</v>
      </c>
    </row>
    <row r="21" spans="3:17" x14ac:dyDescent="0.25">
      <c r="C21" s="20"/>
      <c r="D21" s="16"/>
      <c r="E21" s="16"/>
      <c r="F21" s="37"/>
      <c r="G21" s="37" t="s">
        <v>52</v>
      </c>
      <c r="H21" s="38">
        <f>SUM(H19:H20)</f>
        <v>774000</v>
      </c>
      <c r="J21" s="20" t="str">
        <f>+C25</f>
        <v>Cable</v>
      </c>
      <c r="K21" s="36">
        <f>+D25</f>
        <v>53</v>
      </c>
      <c r="L21" s="16" t="str">
        <f>+E25</f>
        <v>ml</v>
      </c>
      <c r="M21" s="46">
        <f>+F25</f>
        <v>5000</v>
      </c>
      <c r="N21" s="46" t="str">
        <f>+G25</f>
        <v>$/ml</v>
      </c>
      <c r="O21" s="46">
        <f>+M21*K21</f>
        <v>265000</v>
      </c>
      <c r="P21" s="47">
        <f>+O21/$O$24</f>
        <v>0.24175680959207613</v>
      </c>
      <c r="Q21" s="48">
        <f t="shared" ref="Q21:Q22" si="1">+P21+Q20</f>
        <v>0.94786915157044183</v>
      </c>
    </row>
    <row r="22" spans="3:17" x14ac:dyDescent="0.25">
      <c r="C22" s="20"/>
      <c r="D22" s="16"/>
      <c r="E22" s="16"/>
      <c r="F22" s="37"/>
      <c r="G22" s="37"/>
      <c r="H22" s="38"/>
      <c r="J22" s="20" t="str">
        <f>+C31</f>
        <v>Compactador</v>
      </c>
      <c r="K22" s="16">
        <f t="shared" ref="K22:O22" si="2">+D31</f>
        <v>4</v>
      </c>
      <c r="L22" s="16" t="str">
        <f t="shared" si="2"/>
        <v>día</v>
      </c>
      <c r="M22" s="46">
        <f t="shared" si="2"/>
        <v>14285.714285714286</v>
      </c>
      <c r="N22" s="16" t="str">
        <f t="shared" si="2"/>
        <v>$/día</v>
      </c>
      <c r="O22" s="46">
        <f t="shared" si="2"/>
        <v>57142.857142857145</v>
      </c>
      <c r="P22" s="47">
        <f>+O22/$O$24</f>
        <v>5.2130848429558195E-2</v>
      </c>
      <c r="Q22" s="48">
        <f t="shared" si="1"/>
        <v>1</v>
      </c>
    </row>
    <row r="23" spans="3:17" x14ac:dyDescent="0.25">
      <c r="C23" s="35" t="s">
        <v>53</v>
      </c>
      <c r="D23" s="16"/>
      <c r="E23" s="16"/>
      <c r="F23" s="37"/>
      <c r="G23" s="37"/>
      <c r="H23" s="38"/>
      <c r="J23" s="20"/>
      <c r="K23" s="16"/>
      <c r="L23" s="16"/>
      <c r="M23" s="16"/>
      <c r="N23" s="16"/>
      <c r="O23" s="16"/>
      <c r="P23" s="16"/>
      <c r="Q23" s="21"/>
    </row>
    <row r="24" spans="3:17" x14ac:dyDescent="0.25">
      <c r="C24" s="20"/>
      <c r="D24" s="16"/>
      <c r="E24" s="16"/>
      <c r="F24" s="37"/>
      <c r="G24" s="37"/>
      <c r="H24" s="38"/>
      <c r="J24" s="20"/>
      <c r="K24" s="16"/>
      <c r="L24" s="16"/>
      <c r="M24" s="16"/>
      <c r="N24" s="16"/>
      <c r="O24" s="46">
        <f>SUM(O19:O23)</f>
        <v>1096142.857142857</v>
      </c>
      <c r="P24" s="47">
        <f>SUM(P19:P23)</f>
        <v>1</v>
      </c>
      <c r="Q24" s="21"/>
    </row>
    <row r="25" spans="3:17" x14ac:dyDescent="0.25">
      <c r="C25" s="20" t="s">
        <v>90</v>
      </c>
      <c r="D25" s="36">
        <f>+'Instalacion Cable'!H45</f>
        <v>53</v>
      </c>
      <c r="E25" s="16" t="s">
        <v>77</v>
      </c>
      <c r="F25" s="37">
        <v>5000</v>
      </c>
      <c r="G25" s="37" t="s">
        <v>50</v>
      </c>
      <c r="H25" s="38">
        <f>+F25*D25</f>
        <v>265000</v>
      </c>
      <c r="J25" s="39"/>
      <c r="K25" s="40"/>
      <c r="L25" s="40"/>
      <c r="M25" s="40"/>
      <c r="N25" s="40"/>
      <c r="O25" s="40"/>
      <c r="P25" s="40"/>
      <c r="Q25" s="50"/>
    </row>
    <row r="26" spans="3:17" x14ac:dyDescent="0.25">
      <c r="C26" s="20"/>
      <c r="D26" s="16"/>
      <c r="E26" s="16"/>
      <c r="F26" s="37"/>
      <c r="G26" s="37"/>
      <c r="H26" s="38"/>
    </row>
    <row r="27" spans="3:17" x14ac:dyDescent="0.25">
      <c r="C27" s="35" t="s">
        <v>89</v>
      </c>
      <c r="D27" s="16"/>
      <c r="E27" s="16"/>
      <c r="F27" s="37"/>
      <c r="G27" s="37"/>
      <c r="H27" s="38"/>
    </row>
    <row r="28" spans="3:17" x14ac:dyDescent="0.25">
      <c r="C28" s="20"/>
      <c r="D28" s="16"/>
      <c r="E28" s="16"/>
      <c r="F28" s="37"/>
      <c r="G28" s="37"/>
      <c r="H28" s="38"/>
    </row>
    <row r="29" spans="3:17" x14ac:dyDescent="0.25">
      <c r="C29" s="20" t="s">
        <v>80</v>
      </c>
      <c r="D29" s="16" t="s">
        <v>28</v>
      </c>
      <c r="E29" s="16"/>
      <c r="F29" s="37" t="s">
        <v>26</v>
      </c>
      <c r="G29" s="37"/>
      <c r="H29" s="38" t="s">
        <v>29</v>
      </c>
    </row>
    <row r="30" spans="3:17" x14ac:dyDescent="0.25">
      <c r="C30" s="20"/>
      <c r="D30" s="16"/>
      <c r="E30" s="16"/>
      <c r="F30" s="37"/>
      <c r="G30" s="37"/>
      <c r="H30" s="38"/>
    </row>
    <row r="31" spans="3:17" x14ac:dyDescent="0.25">
      <c r="C31" s="20" t="s">
        <v>75</v>
      </c>
      <c r="D31" s="36">
        <f>+Relleno!I42</f>
        <v>4</v>
      </c>
      <c r="E31" s="16" t="s">
        <v>123</v>
      </c>
      <c r="F31" s="37">
        <f>+Relleno!G30</f>
        <v>14285.714285714286</v>
      </c>
      <c r="G31" s="37" t="s">
        <v>121</v>
      </c>
      <c r="H31" s="38">
        <f>+F31*D31</f>
        <v>57142.857142857145</v>
      </c>
    </row>
    <row r="32" spans="3:17" x14ac:dyDescent="0.25">
      <c r="C32" s="20"/>
      <c r="D32" s="16"/>
      <c r="E32" s="16"/>
      <c r="F32" s="37"/>
      <c r="G32" s="37"/>
      <c r="H32" s="38"/>
    </row>
    <row r="33" spans="3:8" x14ac:dyDescent="0.25">
      <c r="C33" s="20"/>
      <c r="D33" s="16"/>
      <c r="E33" s="16"/>
      <c r="F33" s="37"/>
      <c r="G33" s="52" t="s">
        <v>85</v>
      </c>
      <c r="H33" s="53">
        <f>+H31+H25+H21</f>
        <v>1096142.8571428573</v>
      </c>
    </row>
    <row r="34" spans="3:8" x14ac:dyDescent="0.25">
      <c r="C34" s="39"/>
      <c r="D34" s="40"/>
      <c r="E34" s="40"/>
      <c r="F34" s="40"/>
      <c r="G34" s="40"/>
      <c r="H34" s="50"/>
    </row>
  </sheetData>
  <mergeCells count="1">
    <mergeCell ref="C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Excavacion</vt:lpstr>
      <vt:lpstr>Instalacion Cable</vt:lpstr>
      <vt:lpstr>Relleno</vt:lpstr>
      <vt:lpstr>Presupuesto Inicial</vt:lpstr>
      <vt:lpstr>Analisis de Recursos</vt:lpstr>
      <vt:lpstr>Correccion Precios</vt:lpstr>
      <vt:lpstr>Presupuesto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ACER1</dc:creator>
  <cp:lastModifiedBy>ACER1</cp:lastModifiedBy>
  <dcterms:created xsi:type="dcterms:W3CDTF">2017-10-27T12:25:22Z</dcterms:created>
  <dcterms:modified xsi:type="dcterms:W3CDTF">2017-11-04T14:37:19Z</dcterms:modified>
</cp:coreProperties>
</file>