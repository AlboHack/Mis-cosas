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ula Torres Ferra\Desktop\2026\2026-20\CIV222 2026-20 Apuntes\"/>
    </mc:Choice>
  </mc:AlternateContent>
  <xr:revisionPtr revIDLastSave="0" documentId="13_ncr:1_{5ABB71FB-79E1-48E3-9F2B-2664BC7B75C3}" xr6:coauthVersionLast="47" xr6:coauthVersionMax="47" xr10:uidLastSave="{00000000-0000-0000-0000-000000000000}"/>
  <bookViews>
    <workbookView xWindow="3288" yWindow="36" windowWidth="18720" windowHeight="12240" activeTab="1" xr2:uid="{00000000-000D-0000-FFFF-FFFF00000000}"/>
  </bookViews>
  <sheets>
    <sheet name="CPM" sheetId="1" r:id="rId1"/>
    <sheet name="Cost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3" l="1"/>
  <c r="J15" i="3"/>
  <c r="I15" i="3"/>
  <c r="L14" i="3"/>
  <c r="K10" i="3"/>
  <c r="E36" i="3"/>
  <c r="D36" i="3"/>
  <c r="E35" i="3"/>
  <c r="D35" i="3"/>
  <c r="G9" i="3"/>
  <c r="J9" i="3" s="1"/>
  <c r="G10" i="3"/>
  <c r="I10" i="3" s="1"/>
  <c r="G11" i="3"/>
  <c r="K11" i="3" s="1"/>
  <c r="G12" i="3"/>
  <c r="L12" i="3" s="1"/>
  <c r="G13" i="3"/>
  <c r="I13" i="3" s="1"/>
  <c r="G14" i="3"/>
  <c r="K14" i="3" s="1"/>
  <c r="G15" i="3"/>
  <c r="L15" i="3" s="1"/>
  <c r="G8" i="3"/>
  <c r="L8" i="3" s="1"/>
  <c r="K8" i="3" l="1"/>
  <c r="L10" i="3"/>
  <c r="I9" i="3"/>
  <c r="L11" i="3"/>
  <c r="K15" i="3"/>
  <c r="L9" i="3"/>
  <c r="I14" i="3"/>
  <c r="K9" i="3"/>
  <c r="J14" i="3"/>
  <c r="J10" i="3"/>
  <c r="J13" i="3"/>
  <c r="I12" i="3"/>
  <c r="K13" i="3"/>
  <c r="J12" i="3"/>
  <c r="L13" i="3"/>
  <c r="I8" i="3"/>
  <c r="I11" i="3"/>
  <c r="K12" i="3"/>
  <c r="J8" i="3"/>
  <c r="J11" i="3"/>
  <c r="G16" i="3"/>
  <c r="G19" i="3" s="1"/>
  <c r="G20" i="3" s="1"/>
  <c r="G21" i="3" s="1"/>
  <c r="K16" i="3" l="1"/>
  <c r="H24" i="3"/>
  <c r="H25" i="3" s="1"/>
  <c r="H26" i="3" s="1"/>
  <c r="M24" i="3"/>
  <c r="M25" i="3" s="1"/>
  <c r="L16" i="3"/>
  <c r="J16" i="3"/>
  <c r="I16" i="3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G40" i="1"/>
  <c r="AM39" i="1"/>
  <c r="AM29" i="1"/>
  <c r="AM30" i="1"/>
  <c r="AM31" i="1"/>
  <c r="AM32" i="1"/>
  <c r="AM33" i="1"/>
  <c r="AM34" i="1"/>
  <c r="AM35" i="1"/>
  <c r="AM36" i="1"/>
  <c r="AM37" i="1"/>
  <c r="AM28" i="1"/>
  <c r="L39" i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K39" i="1"/>
  <c r="J39" i="1"/>
  <c r="I39" i="1"/>
  <c r="H39" i="1"/>
  <c r="A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K38" i="1"/>
  <c r="J38" i="1"/>
  <c r="I38" i="1"/>
  <c r="H38" i="1"/>
  <c r="AA34" i="1"/>
  <c r="AB34" i="1" s="1"/>
  <c r="AC34" i="1" s="1"/>
  <c r="Z34" i="1"/>
  <c r="S32" i="1"/>
  <c r="T32" i="1" s="1"/>
  <c r="U32" i="1" s="1"/>
  <c r="R32" i="1"/>
  <c r="K30" i="1"/>
  <c r="L30" i="1" s="1"/>
  <c r="M30" i="1" s="1"/>
  <c r="N30" i="1" s="1"/>
  <c r="O30" i="1" s="1"/>
  <c r="P30" i="1" s="1"/>
  <c r="Q30" i="1" s="1"/>
  <c r="AF36" i="1"/>
  <c r="AG36" i="1" s="1"/>
  <c r="AH36" i="1" s="1"/>
  <c r="AI36" i="1" s="1"/>
  <c r="AJ36" i="1" s="1"/>
  <c r="AK36" i="1" s="1"/>
  <c r="Z35" i="1"/>
  <c r="AA35" i="1" s="1"/>
  <c r="AB35" i="1" s="1"/>
  <c r="AC35" i="1" s="1"/>
  <c r="AD35" i="1" s="1"/>
  <c r="AE35" i="1" s="1"/>
  <c r="T33" i="1"/>
  <c r="U33" i="1" s="1"/>
  <c r="V33" i="1" s="1"/>
  <c r="W33" i="1" s="1"/>
  <c r="X33" i="1" s="1"/>
  <c r="Y33" i="1" s="1"/>
  <c r="K31" i="1"/>
  <c r="L31" i="1" s="1"/>
  <c r="M31" i="1" s="1"/>
  <c r="N31" i="1" s="1"/>
  <c r="O31" i="1" s="1"/>
  <c r="P31" i="1" s="1"/>
  <c r="Q31" i="1" s="1"/>
  <c r="R31" i="1" s="1"/>
  <c r="S31" i="1" s="1"/>
  <c r="I26" i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J8" i="1"/>
  <c r="M8" i="1" s="1"/>
  <c r="O8" i="1" s="1"/>
  <c r="I6" i="3" l="1"/>
  <c r="J6" i="3"/>
  <c r="L6" i="3"/>
  <c r="K6" i="3"/>
  <c r="R8" i="1"/>
  <c r="T8" i="1" s="1"/>
  <c r="W8" i="1" s="1"/>
  <c r="Y8" i="1" s="1"/>
  <c r="R12" i="1"/>
  <c r="T12" i="1" s="1"/>
  <c r="W12" i="1" s="1"/>
  <c r="Y12" i="1" s="1"/>
  <c r="J17" i="3" l="1"/>
  <c r="J18" i="3"/>
  <c r="K17" i="3"/>
  <c r="K18" i="3"/>
  <c r="L17" i="3"/>
  <c r="L18" i="3"/>
  <c r="I17" i="3"/>
  <c r="I5" i="3"/>
  <c r="J5" i="3" s="1"/>
  <c r="K5" i="3" s="1"/>
  <c r="L5" i="3" s="1"/>
  <c r="I18" i="3"/>
  <c r="AB8" i="1"/>
  <c r="AD8" i="1" s="1"/>
  <c r="AB12" i="1"/>
  <c r="AD12" i="1" s="1"/>
  <c r="AG8" i="1" s="1"/>
  <c r="AI8" i="1" s="1"/>
  <c r="AL8" i="1" s="1"/>
  <c r="AN8" i="1" s="1"/>
  <c r="AN9" i="1" s="1"/>
  <c r="AL9" i="1" s="1"/>
  <c r="AI9" i="1" s="1"/>
  <c r="AG9" i="1" s="1"/>
  <c r="K19" i="3" l="1"/>
  <c r="I19" i="3"/>
  <c r="L19" i="3"/>
  <c r="J19" i="3"/>
  <c r="AD13" i="1"/>
  <c r="AB13" i="1" s="1"/>
  <c r="Y13" i="1" s="1"/>
  <c r="W13" i="1" s="1"/>
  <c r="AD9" i="1"/>
  <c r="AB9" i="1" s="1"/>
  <c r="Y9" i="1" s="1"/>
  <c r="W9" i="1" s="1"/>
  <c r="J20" i="3" l="1"/>
  <c r="J21" i="3" s="1"/>
  <c r="L20" i="3"/>
  <c r="L21" i="3"/>
  <c r="I20" i="3"/>
  <c r="I21" i="3"/>
  <c r="K20" i="3"/>
  <c r="K21" i="3" s="1"/>
  <c r="T9" i="1"/>
  <c r="R9" i="1" s="1"/>
  <c r="T13" i="1"/>
  <c r="R13" i="1" s="1"/>
  <c r="O9" i="1" s="1"/>
  <c r="M9" i="1" s="1"/>
  <c r="J9" i="1" s="1"/>
  <c r="H9" i="1" s="1"/>
  <c r="J23" i="3" l="1"/>
  <c r="J24" i="3"/>
  <c r="J25" i="3" s="1"/>
  <c r="K23" i="3"/>
  <c r="K24" i="3"/>
  <c r="K25" i="3" s="1"/>
  <c r="I23" i="3"/>
  <c r="I24" i="3"/>
  <c r="I25" i="3" s="1"/>
  <c r="I26" i="3" s="1"/>
  <c r="L23" i="3"/>
  <c r="L24" i="3"/>
  <c r="L25" i="3" s="1"/>
  <c r="J26" i="3" l="1"/>
  <c r="K26" i="3" s="1"/>
  <c r="L26" i="3" s="1"/>
  <c r="M26" i="3" s="1"/>
</calcChain>
</file>

<file path=xl/sharedStrings.xml><?xml version="1.0" encoding="utf-8"?>
<sst xmlns="http://schemas.openxmlformats.org/spreadsheetml/2006/main" count="194" uniqueCount="93">
  <si>
    <t>Ejercicio 2 - CPM + diagrama Gantt</t>
  </si>
  <si>
    <t>Nodo</t>
  </si>
  <si>
    <t>Actividad</t>
  </si>
  <si>
    <t>Duración</t>
  </si>
  <si>
    <t>Predecesora</t>
  </si>
  <si>
    <t>RRHH</t>
  </si>
  <si>
    <t>Inicio</t>
  </si>
  <si>
    <t>A</t>
  </si>
  <si>
    <t>B</t>
  </si>
  <si>
    <t>C</t>
  </si>
  <si>
    <t>D</t>
  </si>
  <si>
    <t>E</t>
  </si>
  <si>
    <t>G</t>
  </si>
  <si>
    <t>H</t>
  </si>
  <si>
    <t>Fin</t>
  </si>
  <si>
    <t>Entrega de Terreno</t>
  </si>
  <si>
    <t>Obras Preliminares</t>
  </si>
  <si>
    <t>Trazados</t>
  </si>
  <si>
    <t>Obra Gruesa</t>
  </si>
  <si>
    <t>Terminaciones Gruesas</t>
  </si>
  <si>
    <t>Terminaciones Finas</t>
  </si>
  <si>
    <t>F</t>
  </si>
  <si>
    <t>Instalaciones Interiores</t>
  </si>
  <si>
    <t>Obras Exteriores</t>
  </si>
  <si>
    <t>Solución de Observaciones</t>
  </si>
  <si>
    <t>Recepción Provisoria de Obras</t>
  </si>
  <si>
    <t>---</t>
  </si>
  <si>
    <t>BC</t>
  </si>
  <si>
    <t>DE</t>
  </si>
  <si>
    <t>FG</t>
  </si>
  <si>
    <t xml:space="preserve">Preguntas: </t>
  </si>
  <si>
    <t>1. Confeccione el diagrama CPM, y determine la Duración del proyecto, cuadro de holguras y Ruta crítica.</t>
  </si>
  <si>
    <t xml:space="preserve">2. Confeccione el diagrama Gantt a partir del CPM del punto anterior. </t>
  </si>
  <si>
    <t>3. Calcule y analice los datos que proporcionan la curva S y el histograma del proyecto, a partir del punto anterior.</t>
  </si>
  <si>
    <t>Ini</t>
  </si>
  <si>
    <t>q.e.d</t>
  </si>
  <si>
    <t>Cuadro de Holguras</t>
  </si>
  <si>
    <t>Act</t>
  </si>
  <si>
    <t>Holg</t>
  </si>
  <si>
    <t>Ruta Crítica</t>
  </si>
  <si>
    <t>Inicio - A - C - E - G - H - Fin</t>
  </si>
  <si>
    <t>Línea Base</t>
  </si>
  <si>
    <t>Av Parcial</t>
  </si>
  <si>
    <t>Av Acumulado</t>
  </si>
  <si>
    <t>Comprobación</t>
  </si>
  <si>
    <t>% Av Acum</t>
  </si>
  <si>
    <t>HISTOGRAMA</t>
  </si>
  <si>
    <t>día</t>
  </si>
  <si>
    <t>CURVA S</t>
  </si>
  <si>
    <t>CIV222 2026-20 Fundamentos de Ingeniería de Construcción y Administración</t>
  </si>
  <si>
    <t>lunes 24-agosto/2026</t>
  </si>
  <si>
    <t>Ítem</t>
  </si>
  <si>
    <t>Unidad</t>
  </si>
  <si>
    <t>Cantidad</t>
  </si>
  <si>
    <t>P. Unitario</t>
  </si>
  <si>
    <t>P. Total</t>
  </si>
  <si>
    <t>st</t>
  </si>
  <si>
    <t>Costos Directos</t>
  </si>
  <si>
    <t>Costos Indirectos - GG</t>
  </si>
  <si>
    <t>Utilidades</t>
  </si>
  <si>
    <t>Neto</t>
  </si>
  <si>
    <t>IVA</t>
  </si>
  <si>
    <t>Valor Total</t>
  </si>
  <si>
    <t>1. Grafique la curva S de los Estados de pago programados.</t>
  </si>
  <si>
    <t>2. Grafique la curva S del Pago Real (efectivo), para los Estados de pago del Contrato.</t>
  </si>
  <si>
    <t>3. Grafique la gráfica en Barras de Estados de Pago.</t>
  </si>
  <si>
    <t>Ejercicio 2 - Estados de Pago</t>
  </si>
  <si>
    <t>Consideraciones Técnicas:</t>
  </si>
  <si>
    <t>1. Anticipo 20%</t>
  </si>
  <si>
    <t>2. Retenciones por correcta ejecución: 5%, pagaderas a los 15 días.</t>
  </si>
  <si>
    <t>3. Gastos Generales y Utilidades se cobran proporcional al avance físico de las Obras.</t>
  </si>
  <si>
    <t xml:space="preserve">NCh1156 </t>
  </si>
  <si>
    <t>NCh30</t>
  </si>
  <si>
    <t>NCh353</t>
  </si>
  <si>
    <t>Representativas</t>
  </si>
  <si>
    <t>Formato de Compra</t>
  </si>
  <si>
    <t>% Pérdida</t>
  </si>
  <si>
    <t>qxp</t>
  </si>
  <si>
    <t>Semana 1</t>
  </si>
  <si>
    <t>Semana 2</t>
  </si>
  <si>
    <t>Semana 3</t>
  </si>
  <si>
    <t>Semana 4</t>
  </si>
  <si>
    <t>EP 1</t>
  </si>
  <si>
    <t>EP 2</t>
  </si>
  <si>
    <t>EP 3</t>
  </si>
  <si>
    <t>EP 4</t>
  </si>
  <si>
    <t>Parciales</t>
  </si>
  <si>
    <t>Acumulados</t>
  </si>
  <si>
    <t>Anticipo</t>
  </si>
  <si>
    <t>Retención</t>
  </si>
  <si>
    <t>Descuentos</t>
  </si>
  <si>
    <t>Parcial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</si>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</sst>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0.0%"/>
    <numFmt numFmtId="179" formatCode="0.0000000000000000%"/>
  </numFmts>
  <fonts count="8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1" xfId="0" quotePrefix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" fontId="0" fillId="0" borderId="0" xfId="0" applyNumberFormat="1" applyAlignment="1">
      <alignment horizontal="center" textRotation="90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textRotation="90"/>
    </xf>
    <xf numFmtId="9" fontId="0" fillId="0" borderId="0" xfId="1" applyFont="1"/>
    <xf numFmtId="0" fontId="5" fillId="0" borderId="0" xfId="0" applyFont="1"/>
    <xf numFmtId="9" fontId="0" fillId="0" borderId="0" xfId="1" applyFont="1" applyAlignment="1">
      <alignment horizontal="center"/>
    </xf>
    <xf numFmtId="42" fontId="0" fillId="0" borderId="1" xfId="2" applyFont="1" applyFill="1" applyBorder="1" applyAlignment="1">
      <alignment horizontal="center"/>
    </xf>
    <xf numFmtId="42" fontId="0" fillId="0" borderId="1" xfId="0" applyNumberFormat="1" applyFill="1" applyBorder="1" applyAlignment="1">
      <alignment horizontal="center"/>
    </xf>
    <xf numFmtId="9" fontId="0" fillId="0" borderId="0" xfId="0" applyNumberFormat="1"/>
    <xf numFmtId="4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42" fontId="0" fillId="0" borderId="0" xfId="0" applyNumberFormat="1" applyAlignment="1">
      <alignment horizontal="center"/>
    </xf>
    <xf numFmtId="0" fontId="0" fillId="8" borderId="1" xfId="0" applyFill="1" applyBorder="1"/>
    <xf numFmtId="42" fontId="0" fillId="8" borderId="1" xfId="0" applyNumberFormat="1" applyFill="1" applyBorder="1"/>
    <xf numFmtId="0" fontId="0" fillId="8" borderId="0" xfId="0" applyFill="1"/>
    <xf numFmtId="42" fontId="0" fillId="8" borderId="0" xfId="0" applyNumberFormat="1" applyFill="1" applyAlignment="1">
      <alignment horizontal="center"/>
    </xf>
    <xf numFmtId="42" fontId="0" fillId="0" borderId="1" xfId="0" applyNumberFormat="1" applyBorder="1" applyAlignment="1">
      <alignment horizontal="center"/>
    </xf>
    <xf numFmtId="42" fontId="0" fillId="8" borderId="1" xfId="0" applyNumberForma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2" fontId="0" fillId="9" borderId="1" xfId="0" applyNumberFormat="1" applyFill="1" applyBorder="1" applyAlignment="1">
      <alignment horizontal="center"/>
    </xf>
    <xf numFmtId="42" fontId="0" fillId="3" borderId="0" xfId="0" applyNumberFormat="1" applyFill="1"/>
    <xf numFmtId="42" fontId="0" fillId="3" borderId="0" xfId="0" applyNumberFormat="1" applyFill="1" applyAlignment="1">
      <alignment horizontal="center"/>
    </xf>
    <xf numFmtId="179" fontId="0" fillId="7" borderId="0" xfId="1" applyNumberFormat="1" applyFont="1" applyFill="1" applyAlignment="1">
      <alignment horizontal="center"/>
    </xf>
  </cellXfs>
  <cellStyles count="3">
    <cellStyle name="Moneda [0]" xfId="2" builtinId="7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 DE RRHH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CPM!$F$44</c:f>
              <c:strCache>
                <c:ptCount val="1"/>
                <c:pt idx="0">
                  <c:v>RRHH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CPM!$F$45:$F$74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CPM!$E$45:$E$74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011-4083-B31E-662E2A07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01680"/>
        <c:axId val="114399280"/>
      </c:barChart>
      <c:catAx>
        <c:axId val="11440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399280"/>
        <c:crosses val="autoZero"/>
        <c:auto val="1"/>
        <c:lblAlgn val="ctr"/>
        <c:lblOffset val="100"/>
        <c:noMultiLvlLbl val="0"/>
      </c:catAx>
      <c:valAx>
        <c:axId val="1143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40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CPM!$F$79</c:f>
              <c:strCache>
                <c:ptCount val="1"/>
                <c:pt idx="0">
                  <c:v>% Av Acum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CPM!$E$80:$E$110</c:f>
            </c:numRef>
          </c:xVal>
          <c:yVal>
            <c:numRef>
              <c:f>CPM!$F$80:$F$110</c:f>
            </c:numRef>
          </c:yVal>
          <c:smooth val="0"/>
          <c:extLst>
            <c:ext xmlns:c16="http://schemas.microsoft.com/office/drawing/2014/chart" uri="{C3380CC4-5D6E-409C-BE32-E72D297353CC}">
              <c16:uniqueId val="{00000000-3732-4114-8FFD-2B90853B3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41920"/>
        <c:axId val="111231360"/>
      </c:scatterChart>
      <c:valAx>
        <c:axId val="11124192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231360"/>
        <c:crosses val="autoZero"/>
        <c:crossBetween val="midCat"/>
      </c:valAx>
      <c:valAx>
        <c:axId val="111231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24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65943</xdr:colOff>
      <xdr:row>8</xdr:row>
      <xdr:rowOff>7327</xdr:rowOff>
    </xdr:from>
    <xdr:to>
      <xdr:col>11</xdr:col>
      <xdr:colOff>271096</xdr:colOff>
      <xdr:row>8</xdr:row>
      <xdr:rowOff>7327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A5ADD29-FA00-273A-A1EE-F656C39439ED}"/>
            </a:ext>
          </a:extLst>
        </xdr:cNvPr>
        <xdr:cNvCxnSpPr/>
      </xdr:nvCxnSpPr>
      <xdr:spPr>
        <a:xfrm>
          <a:off x="6337789" y="1531327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58616</xdr:colOff>
      <xdr:row>7</xdr:row>
      <xdr:rowOff>168519</xdr:rowOff>
    </xdr:from>
    <xdr:to>
      <xdr:col>16</xdr:col>
      <xdr:colOff>263769</xdr:colOff>
      <xdr:row>7</xdr:row>
      <xdr:rowOff>168519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E1B0239-C91A-4D96-8CC0-81724A5F6218}"/>
            </a:ext>
          </a:extLst>
        </xdr:cNvPr>
        <xdr:cNvCxnSpPr/>
      </xdr:nvCxnSpPr>
      <xdr:spPr>
        <a:xfrm>
          <a:off x="7795847" y="1502019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43961</xdr:colOff>
      <xdr:row>8</xdr:row>
      <xdr:rowOff>73269</xdr:rowOff>
    </xdr:from>
    <xdr:to>
      <xdr:col>16</xdr:col>
      <xdr:colOff>271096</xdr:colOff>
      <xdr:row>12</xdr:row>
      <xdr:rowOff>14654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75999BC7-9FA7-4F29-8199-B23389602B22}"/>
            </a:ext>
          </a:extLst>
        </xdr:cNvPr>
        <xdr:cNvCxnSpPr/>
      </xdr:nvCxnSpPr>
      <xdr:spPr>
        <a:xfrm>
          <a:off x="7781192" y="1597269"/>
          <a:ext cx="520212" cy="70338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79132</xdr:colOff>
      <xdr:row>7</xdr:row>
      <xdr:rowOff>167053</xdr:rowOff>
    </xdr:from>
    <xdr:to>
      <xdr:col>21</xdr:col>
      <xdr:colOff>284285</xdr:colOff>
      <xdr:row>7</xdr:row>
      <xdr:rowOff>167053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7943FE0C-579F-401E-9F35-08421446CF9D}"/>
            </a:ext>
          </a:extLst>
        </xdr:cNvPr>
        <xdr:cNvCxnSpPr/>
      </xdr:nvCxnSpPr>
      <xdr:spPr>
        <a:xfrm>
          <a:off x="9281747" y="1500553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65942</xdr:colOff>
      <xdr:row>11</xdr:row>
      <xdr:rowOff>183173</xdr:rowOff>
    </xdr:from>
    <xdr:to>
      <xdr:col>21</xdr:col>
      <xdr:colOff>271095</xdr:colOff>
      <xdr:row>11</xdr:row>
      <xdr:rowOff>183173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C088DD0C-4BFF-4F56-A82C-B262A02A04AD}"/>
            </a:ext>
          </a:extLst>
        </xdr:cNvPr>
        <xdr:cNvCxnSpPr/>
      </xdr:nvCxnSpPr>
      <xdr:spPr>
        <a:xfrm>
          <a:off x="9268557" y="2278673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49823</xdr:colOff>
      <xdr:row>8</xdr:row>
      <xdr:rowOff>27842</xdr:rowOff>
    </xdr:from>
    <xdr:to>
      <xdr:col>21</xdr:col>
      <xdr:colOff>276958</xdr:colOff>
      <xdr:row>11</xdr:row>
      <xdr:rowOff>159727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2BEA7FF0-EA9A-452E-8116-181670B9276C}"/>
            </a:ext>
          </a:extLst>
        </xdr:cNvPr>
        <xdr:cNvCxnSpPr/>
      </xdr:nvCxnSpPr>
      <xdr:spPr>
        <a:xfrm>
          <a:off x="9252438" y="1551842"/>
          <a:ext cx="520212" cy="70338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51288</xdr:colOff>
      <xdr:row>7</xdr:row>
      <xdr:rowOff>175846</xdr:rowOff>
    </xdr:from>
    <xdr:to>
      <xdr:col>26</xdr:col>
      <xdr:colOff>256441</xdr:colOff>
      <xdr:row>7</xdr:row>
      <xdr:rowOff>175846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42690667-41EC-4157-AAB4-705B20A615B2}"/>
            </a:ext>
          </a:extLst>
        </xdr:cNvPr>
        <xdr:cNvCxnSpPr/>
      </xdr:nvCxnSpPr>
      <xdr:spPr>
        <a:xfrm>
          <a:off x="10719288" y="1509346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51289</xdr:colOff>
      <xdr:row>11</xdr:row>
      <xdr:rowOff>175846</xdr:rowOff>
    </xdr:from>
    <xdr:to>
      <xdr:col>26</xdr:col>
      <xdr:colOff>256442</xdr:colOff>
      <xdr:row>11</xdr:row>
      <xdr:rowOff>175846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248887EE-FE51-4B30-9529-8015E907FACD}"/>
            </a:ext>
          </a:extLst>
        </xdr:cNvPr>
        <xdr:cNvCxnSpPr/>
      </xdr:nvCxnSpPr>
      <xdr:spPr>
        <a:xfrm>
          <a:off x="10719289" y="2271346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77665</xdr:colOff>
      <xdr:row>8</xdr:row>
      <xdr:rowOff>21981</xdr:rowOff>
    </xdr:from>
    <xdr:to>
      <xdr:col>26</xdr:col>
      <xdr:colOff>256442</xdr:colOff>
      <xdr:row>11</xdr:row>
      <xdr:rowOff>121627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8349D5DE-28FC-4683-9461-E0FD82900A9A}"/>
            </a:ext>
          </a:extLst>
        </xdr:cNvPr>
        <xdr:cNvCxnSpPr/>
      </xdr:nvCxnSpPr>
      <xdr:spPr>
        <a:xfrm flipV="1">
          <a:off x="10745665" y="1545981"/>
          <a:ext cx="471854" cy="67114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36635</xdr:colOff>
      <xdr:row>7</xdr:row>
      <xdr:rowOff>153865</xdr:rowOff>
    </xdr:from>
    <xdr:to>
      <xdr:col>31</xdr:col>
      <xdr:colOff>241788</xdr:colOff>
      <xdr:row>7</xdr:row>
      <xdr:rowOff>153865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23DEEDD4-1948-49D5-A507-064AF8F5FFC3}"/>
            </a:ext>
          </a:extLst>
        </xdr:cNvPr>
        <xdr:cNvCxnSpPr/>
      </xdr:nvCxnSpPr>
      <xdr:spPr>
        <a:xfrm>
          <a:off x="12170020" y="1487365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54218</xdr:colOff>
      <xdr:row>8</xdr:row>
      <xdr:rowOff>42497</xdr:rowOff>
    </xdr:from>
    <xdr:to>
      <xdr:col>31</xdr:col>
      <xdr:colOff>232995</xdr:colOff>
      <xdr:row>11</xdr:row>
      <xdr:rowOff>142143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99A1651-18E5-4D34-9806-8FBF30FFFFD2}"/>
            </a:ext>
          </a:extLst>
        </xdr:cNvPr>
        <xdr:cNvCxnSpPr/>
      </xdr:nvCxnSpPr>
      <xdr:spPr>
        <a:xfrm flipV="1">
          <a:off x="12187603" y="1566497"/>
          <a:ext cx="471854" cy="67114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58615</xdr:colOff>
      <xdr:row>7</xdr:row>
      <xdr:rowOff>168519</xdr:rowOff>
    </xdr:from>
    <xdr:to>
      <xdr:col>36</xdr:col>
      <xdr:colOff>263768</xdr:colOff>
      <xdr:row>7</xdr:row>
      <xdr:rowOff>168519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C17B0586-5C5D-4B60-9948-937BCC1FD205}"/>
            </a:ext>
          </a:extLst>
        </xdr:cNvPr>
        <xdr:cNvCxnSpPr/>
      </xdr:nvCxnSpPr>
      <xdr:spPr>
        <a:xfrm>
          <a:off x="13657384" y="1502019"/>
          <a:ext cx="49823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34017</xdr:colOff>
      <xdr:row>43</xdr:row>
      <xdr:rowOff>29935</xdr:rowOff>
    </xdr:from>
    <xdr:to>
      <xdr:col>37</xdr:col>
      <xdr:colOff>13607</xdr:colOff>
      <xdr:row>73</xdr:row>
      <xdr:rowOff>176892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1FFF6C7-6870-88B2-3AC0-BBBFA9EF6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47623</xdr:colOff>
      <xdr:row>78</xdr:row>
      <xdr:rowOff>57150</xdr:rowOff>
    </xdr:from>
    <xdr:to>
      <xdr:col>36</xdr:col>
      <xdr:colOff>326570</xdr:colOff>
      <xdr:row>109</xdr:row>
      <xdr:rowOff>163285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2D2E1D5-B20A-6639-5480-D043F2CE5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I110"/>
  <sheetViews>
    <sheetView topLeftCell="H17" zoomScale="85" zoomScaleNormal="85" workbookViewId="0">
      <selection activeCell="Z34" sqref="Z34"/>
    </sheetView>
  </sheetViews>
  <sheetFormatPr baseColWidth="10" defaultRowHeight="13.8"/>
  <cols>
    <col min="1" max="1" width="1.296875" customWidth="1"/>
    <col min="2" max="2" width="8" customWidth="1"/>
    <col min="3" max="3" width="26.59765625" customWidth="1"/>
    <col min="4" max="4" width="8.59765625" hidden="1" customWidth="1"/>
    <col min="5" max="5" width="11.296875" hidden="1" customWidth="1"/>
    <col min="6" max="6" width="15" hidden="1" customWidth="1"/>
    <col min="7" max="7" width="3.8984375" hidden="1" customWidth="1"/>
    <col min="8" max="12" width="4.3984375" style="4" customWidth="1"/>
    <col min="13" max="13" width="5" style="4" bestFit="1" customWidth="1"/>
    <col min="14" max="14" width="5.59765625" style="4" customWidth="1"/>
    <col min="15" max="15" width="5" style="4" customWidth="1"/>
    <col min="16" max="36" width="4.8984375" style="4" customWidth="1"/>
    <col min="37" max="37" width="6.09765625" style="4" bestFit="1" customWidth="1"/>
    <col min="38" max="38" width="5.8984375" style="4" customWidth="1"/>
    <col min="39" max="113" width="4.3984375" style="4" customWidth="1"/>
  </cols>
  <sheetData>
    <row r="2" spans="2:40">
      <c r="B2" t="s">
        <v>49</v>
      </c>
    </row>
    <row r="3" spans="2:40">
      <c r="B3" t="s">
        <v>0</v>
      </c>
    </row>
    <row r="4" spans="2:40">
      <c r="B4" t="s">
        <v>50</v>
      </c>
    </row>
    <row r="6" spans="2:40">
      <c r="B6" s="1" t="s">
        <v>1</v>
      </c>
      <c r="C6" s="5" t="s">
        <v>2</v>
      </c>
      <c r="D6" s="1" t="s">
        <v>3</v>
      </c>
      <c r="E6" s="1" t="s">
        <v>4</v>
      </c>
      <c r="F6" s="1" t="s">
        <v>5</v>
      </c>
    </row>
    <row r="7" spans="2:40">
      <c r="B7" s="1" t="s">
        <v>6</v>
      </c>
      <c r="C7" s="5" t="s">
        <v>15</v>
      </c>
      <c r="D7" s="1">
        <v>0</v>
      </c>
      <c r="E7" s="6" t="s">
        <v>26</v>
      </c>
      <c r="F7" s="1">
        <v>0</v>
      </c>
    </row>
    <row r="8" spans="2:40">
      <c r="B8" s="1" t="s">
        <v>7</v>
      </c>
      <c r="C8" s="5" t="s">
        <v>16</v>
      </c>
      <c r="D8" s="1">
        <v>3</v>
      </c>
      <c r="E8" s="6" t="s">
        <v>26</v>
      </c>
      <c r="F8" s="1">
        <v>4</v>
      </c>
      <c r="H8" s="8">
        <v>0</v>
      </c>
      <c r="I8" s="8" t="s">
        <v>34</v>
      </c>
      <c r="J8" s="8">
        <f>+H8+I9</f>
        <v>0</v>
      </c>
      <c r="M8" s="8">
        <f>+J8</f>
        <v>0</v>
      </c>
      <c r="N8" s="8" t="s">
        <v>7</v>
      </c>
      <c r="O8" s="8">
        <f>+M8+N9</f>
        <v>3</v>
      </c>
      <c r="R8" s="8">
        <f>+O8</f>
        <v>3</v>
      </c>
      <c r="S8" s="8" t="s">
        <v>8</v>
      </c>
      <c r="T8" s="8">
        <f>+R8+S9</f>
        <v>10</v>
      </c>
      <c r="W8" s="8">
        <f>+T8</f>
        <v>10</v>
      </c>
      <c r="X8" s="8" t="s">
        <v>10</v>
      </c>
      <c r="Y8" s="8">
        <f>+W8+X9</f>
        <v>14</v>
      </c>
      <c r="AB8" s="8">
        <f>+Y12</f>
        <v>18</v>
      </c>
      <c r="AC8" s="8" t="s">
        <v>21</v>
      </c>
      <c r="AD8" s="8">
        <f>+AB8+AC9</f>
        <v>22</v>
      </c>
      <c r="AG8" s="8">
        <f>+AD12</f>
        <v>24</v>
      </c>
      <c r="AH8" s="8" t="s">
        <v>13</v>
      </c>
      <c r="AI8" s="8">
        <f>+AG8+AH9</f>
        <v>30</v>
      </c>
      <c r="AL8" s="8">
        <f>+AI8</f>
        <v>30</v>
      </c>
      <c r="AM8" s="8" t="s">
        <v>14</v>
      </c>
      <c r="AN8" s="8">
        <f>+AL8+AM9</f>
        <v>30</v>
      </c>
    </row>
    <row r="9" spans="2:40">
      <c r="B9" s="1" t="s">
        <v>8</v>
      </c>
      <c r="C9" s="5" t="s">
        <v>17</v>
      </c>
      <c r="D9" s="1">
        <v>7</v>
      </c>
      <c r="E9" s="1" t="s">
        <v>7</v>
      </c>
      <c r="F9" s="1">
        <v>3</v>
      </c>
      <c r="H9" s="8">
        <f>+J9-I9</f>
        <v>0</v>
      </c>
      <c r="I9" s="8">
        <v>0</v>
      </c>
      <c r="J9" s="8">
        <f>+M9</f>
        <v>0</v>
      </c>
      <c r="M9" s="8">
        <f>+O9-N9</f>
        <v>0</v>
      </c>
      <c r="N9" s="8">
        <v>3</v>
      </c>
      <c r="O9" s="8">
        <f>+R13</f>
        <v>3</v>
      </c>
      <c r="R9" s="8">
        <f>+T9-S9</f>
        <v>5</v>
      </c>
      <c r="S9" s="8">
        <v>7</v>
      </c>
      <c r="T9" s="8">
        <f>+W13</f>
        <v>12</v>
      </c>
      <c r="W9" s="8">
        <f>+Y9-X9</f>
        <v>16</v>
      </c>
      <c r="X9" s="8">
        <v>4</v>
      </c>
      <c r="Y9" s="8">
        <f>+AB9</f>
        <v>20</v>
      </c>
      <c r="AB9" s="8">
        <f>+AD9-AC9</f>
        <v>20</v>
      </c>
      <c r="AC9" s="8">
        <v>4</v>
      </c>
      <c r="AD9" s="8">
        <f>+AG9</f>
        <v>24</v>
      </c>
      <c r="AG9" s="8">
        <f>+AI9-AH9</f>
        <v>24</v>
      </c>
      <c r="AH9" s="8">
        <v>6</v>
      </c>
      <c r="AI9" s="8">
        <f>+AL9</f>
        <v>30</v>
      </c>
      <c r="AL9" s="8">
        <f>+AN9-AM9</f>
        <v>30</v>
      </c>
      <c r="AM9" s="8">
        <v>0</v>
      </c>
      <c r="AN9" s="8">
        <f>+AN8</f>
        <v>30</v>
      </c>
    </row>
    <row r="10" spans="2:40">
      <c r="B10" s="1" t="s">
        <v>9</v>
      </c>
      <c r="C10" s="5" t="s">
        <v>18</v>
      </c>
      <c r="D10" s="1">
        <v>9</v>
      </c>
      <c r="E10" s="6" t="s">
        <v>7</v>
      </c>
      <c r="F10" s="1">
        <v>15</v>
      </c>
    </row>
    <row r="11" spans="2:40">
      <c r="B11" s="1" t="s">
        <v>10</v>
      </c>
      <c r="C11" s="5" t="s">
        <v>19</v>
      </c>
      <c r="D11" s="1">
        <v>4</v>
      </c>
      <c r="E11" s="1" t="s">
        <v>8</v>
      </c>
      <c r="F11" s="1">
        <v>12</v>
      </c>
      <c r="I11" s="9" t="s">
        <v>35</v>
      </c>
    </row>
    <row r="12" spans="2:40">
      <c r="B12" s="1" t="s">
        <v>11</v>
      </c>
      <c r="C12" s="5" t="s">
        <v>20</v>
      </c>
      <c r="D12" s="1">
        <v>6</v>
      </c>
      <c r="E12" s="6" t="s">
        <v>27</v>
      </c>
      <c r="F12" s="1">
        <v>28</v>
      </c>
      <c r="R12" s="8">
        <f>+O8</f>
        <v>3</v>
      </c>
      <c r="S12" s="8" t="s">
        <v>9</v>
      </c>
      <c r="T12" s="8">
        <f>+R12+S13</f>
        <v>12</v>
      </c>
      <c r="W12" s="8">
        <f>+T12</f>
        <v>12</v>
      </c>
      <c r="X12" s="8" t="s">
        <v>11</v>
      </c>
      <c r="Y12" s="8">
        <f>+W12+X13</f>
        <v>18</v>
      </c>
      <c r="AB12" s="8">
        <f>+Y12</f>
        <v>18</v>
      </c>
      <c r="AC12" s="8" t="s">
        <v>12</v>
      </c>
      <c r="AD12" s="8">
        <f>+AB12+AC13</f>
        <v>24</v>
      </c>
    </row>
    <row r="13" spans="2:40">
      <c r="B13" s="1" t="s">
        <v>21</v>
      </c>
      <c r="C13" s="5" t="s">
        <v>22</v>
      </c>
      <c r="D13" s="1">
        <v>4</v>
      </c>
      <c r="E13" s="1" t="s">
        <v>28</v>
      </c>
      <c r="F13" s="1">
        <v>15</v>
      </c>
      <c r="R13" s="8">
        <f>+T13-S13</f>
        <v>3</v>
      </c>
      <c r="S13" s="8">
        <v>9</v>
      </c>
      <c r="T13" s="8">
        <f>+W13</f>
        <v>12</v>
      </c>
      <c r="W13" s="8">
        <f>+Y13-X13</f>
        <v>12</v>
      </c>
      <c r="X13" s="8">
        <v>6</v>
      </c>
      <c r="Y13" s="8">
        <f>+AB13</f>
        <v>18</v>
      </c>
      <c r="AB13" s="8">
        <f>+AD13-AC13</f>
        <v>18</v>
      </c>
      <c r="AC13" s="8">
        <v>6</v>
      </c>
      <c r="AD13" s="8">
        <f>+AG9</f>
        <v>24</v>
      </c>
    </row>
    <row r="14" spans="2:40">
      <c r="B14" s="1" t="s">
        <v>12</v>
      </c>
      <c r="C14" s="5" t="s">
        <v>23</v>
      </c>
      <c r="D14" s="1">
        <v>6</v>
      </c>
      <c r="E14" s="6" t="s">
        <v>11</v>
      </c>
      <c r="F14" s="1">
        <v>12</v>
      </c>
    </row>
    <row r="15" spans="2:40">
      <c r="B15" s="1" t="s">
        <v>13</v>
      </c>
      <c r="C15" s="5" t="s">
        <v>24</v>
      </c>
      <c r="D15" s="1">
        <v>6</v>
      </c>
      <c r="E15" s="6" t="s">
        <v>29</v>
      </c>
      <c r="F15" s="1">
        <v>9</v>
      </c>
      <c r="J15" s="4" t="s">
        <v>36</v>
      </c>
      <c r="N15" s="4" t="s">
        <v>39</v>
      </c>
    </row>
    <row r="16" spans="2:40">
      <c r="B16" s="1" t="s">
        <v>14</v>
      </c>
      <c r="C16" s="5" t="s">
        <v>25</v>
      </c>
      <c r="D16" s="1">
        <v>0</v>
      </c>
      <c r="E16" s="6" t="s">
        <v>13</v>
      </c>
      <c r="F16" s="1">
        <v>0</v>
      </c>
      <c r="J16" s="11" t="s">
        <v>37</v>
      </c>
      <c r="K16" s="12" t="s">
        <v>38</v>
      </c>
      <c r="N16" s="13" t="s">
        <v>40</v>
      </c>
    </row>
    <row r="17" spans="2:39">
      <c r="J17" s="4" t="s">
        <v>8</v>
      </c>
      <c r="K17" s="10">
        <v>2</v>
      </c>
    </row>
    <row r="18" spans="2:39">
      <c r="J18" s="4" t="s">
        <v>10</v>
      </c>
      <c r="K18" s="10">
        <v>6</v>
      </c>
    </row>
    <row r="19" spans="2:39">
      <c r="J19" s="4" t="s">
        <v>21</v>
      </c>
      <c r="K19" s="10">
        <v>2</v>
      </c>
    </row>
    <row r="20" spans="2:39">
      <c r="B20" s="2" t="s">
        <v>30</v>
      </c>
    </row>
    <row r="21" spans="2:39">
      <c r="B21" s="3" t="s">
        <v>31</v>
      </c>
    </row>
    <row r="22" spans="2:39">
      <c r="B22" s="3" t="s">
        <v>32</v>
      </c>
    </row>
    <row r="23" spans="2:39">
      <c r="B23" s="3" t="s">
        <v>33</v>
      </c>
    </row>
    <row r="24" spans="2:39">
      <c r="AD24" s="18"/>
      <c r="AE24" s="13" t="s">
        <v>41</v>
      </c>
    </row>
    <row r="25" spans="2:39">
      <c r="E25" s="4"/>
      <c r="F25" s="7"/>
    </row>
    <row r="26" spans="2:39" ht="75.599999999999994" thickBot="1">
      <c r="E26" s="4"/>
      <c r="F26" s="7"/>
      <c r="H26" s="15">
        <v>46098</v>
      </c>
      <c r="I26" s="15">
        <f>+H26+1</f>
        <v>46099</v>
      </c>
      <c r="J26" s="15">
        <f t="shared" ref="J26:AK26" si="0">+I26+1</f>
        <v>46100</v>
      </c>
      <c r="K26" s="15">
        <f t="shared" si="0"/>
        <v>46101</v>
      </c>
      <c r="L26" s="15">
        <f t="shared" si="0"/>
        <v>46102</v>
      </c>
      <c r="M26" s="15">
        <f t="shared" si="0"/>
        <v>46103</v>
      </c>
      <c r="N26" s="15">
        <f t="shared" si="0"/>
        <v>46104</v>
      </c>
      <c r="O26" s="15">
        <f t="shared" si="0"/>
        <v>46105</v>
      </c>
      <c r="P26" s="15">
        <f t="shared" si="0"/>
        <v>46106</v>
      </c>
      <c r="Q26" s="15">
        <f t="shared" si="0"/>
        <v>46107</v>
      </c>
      <c r="R26" s="15">
        <f t="shared" si="0"/>
        <v>46108</v>
      </c>
      <c r="S26" s="15">
        <f t="shared" si="0"/>
        <v>46109</v>
      </c>
      <c r="T26" s="15">
        <f t="shared" si="0"/>
        <v>46110</v>
      </c>
      <c r="U26" s="15">
        <f t="shared" si="0"/>
        <v>46111</v>
      </c>
      <c r="V26" s="15">
        <f t="shared" si="0"/>
        <v>46112</v>
      </c>
      <c r="W26" s="15">
        <f t="shared" si="0"/>
        <v>46113</v>
      </c>
      <c r="X26" s="15">
        <f t="shared" si="0"/>
        <v>46114</v>
      </c>
      <c r="Y26" s="15">
        <f t="shared" si="0"/>
        <v>46115</v>
      </c>
      <c r="Z26" s="15">
        <f t="shared" si="0"/>
        <v>46116</v>
      </c>
      <c r="AA26" s="15">
        <f t="shared" si="0"/>
        <v>46117</v>
      </c>
      <c r="AB26" s="15">
        <f t="shared" si="0"/>
        <v>46118</v>
      </c>
      <c r="AC26" s="15">
        <f t="shared" si="0"/>
        <v>46119</v>
      </c>
      <c r="AD26" s="15">
        <f t="shared" si="0"/>
        <v>46120</v>
      </c>
      <c r="AE26" s="15">
        <f t="shared" si="0"/>
        <v>46121</v>
      </c>
      <c r="AF26" s="15">
        <f t="shared" si="0"/>
        <v>46122</v>
      </c>
      <c r="AG26" s="15">
        <f t="shared" si="0"/>
        <v>46123</v>
      </c>
      <c r="AH26" s="15">
        <f t="shared" si="0"/>
        <v>46124</v>
      </c>
      <c r="AI26" s="15">
        <f t="shared" si="0"/>
        <v>46125</v>
      </c>
      <c r="AJ26" s="15">
        <f t="shared" si="0"/>
        <v>46126</v>
      </c>
      <c r="AK26" s="15">
        <f t="shared" si="0"/>
        <v>46127</v>
      </c>
      <c r="AM26" s="22" t="s">
        <v>44</v>
      </c>
    </row>
    <row r="27" spans="2:39">
      <c r="B27" s="1" t="s">
        <v>1</v>
      </c>
      <c r="C27" s="5" t="s">
        <v>2</v>
      </c>
      <c r="D27" s="1" t="s">
        <v>3</v>
      </c>
      <c r="E27" s="1" t="s">
        <v>4</v>
      </c>
      <c r="F27" s="1" t="s">
        <v>5</v>
      </c>
      <c r="G27" s="33"/>
      <c r="H27" s="34">
        <v>1</v>
      </c>
      <c r="I27" s="35">
        <v>2</v>
      </c>
      <c r="J27" s="35">
        <v>3</v>
      </c>
      <c r="K27" s="35">
        <v>4</v>
      </c>
      <c r="L27" s="35">
        <v>5</v>
      </c>
      <c r="M27" s="35">
        <v>6</v>
      </c>
      <c r="N27" s="36">
        <v>7</v>
      </c>
      <c r="O27" s="34">
        <v>8</v>
      </c>
      <c r="P27" s="35">
        <v>9</v>
      </c>
      <c r="Q27" s="35">
        <v>10</v>
      </c>
      <c r="R27" s="35">
        <v>11</v>
      </c>
      <c r="S27" s="35">
        <v>12</v>
      </c>
      <c r="T27" s="35">
        <v>13</v>
      </c>
      <c r="U27" s="35">
        <v>14</v>
      </c>
      <c r="V27" s="36">
        <v>15</v>
      </c>
      <c r="W27" s="34">
        <v>16</v>
      </c>
      <c r="X27" s="35">
        <v>17</v>
      </c>
      <c r="Y27" s="35">
        <v>18</v>
      </c>
      <c r="Z27" s="35">
        <v>19</v>
      </c>
      <c r="AA27" s="35">
        <v>20</v>
      </c>
      <c r="AB27" s="35">
        <v>21</v>
      </c>
      <c r="AC27" s="36">
        <v>22</v>
      </c>
      <c r="AD27" s="34">
        <v>23</v>
      </c>
      <c r="AE27" s="35">
        <v>24</v>
      </c>
      <c r="AF27" s="35">
        <v>25</v>
      </c>
      <c r="AG27" s="35">
        <v>26</v>
      </c>
      <c r="AH27" s="35">
        <v>27</v>
      </c>
      <c r="AI27" s="35">
        <v>28</v>
      </c>
      <c r="AJ27" s="35">
        <v>29</v>
      </c>
      <c r="AK27" s="36">
        <v>30</v>
      </c>
    </row>
    <row r="28" spans="2:39">
      <c r="B28" s="16" t="s">
        <v>6</v>
      </c>
      <c r="C28" s="5" t="s">
        <v>15</v>
      </c>
      <c r="D28" s="1">
        <v>0</v>
      </c>
      <c r="E28" s="6" t="s">
        <v>26</v>
      </c>
      <c r="F28" s="1">
        <v>0</v>
      </c>
      <c r="G28" s="33"/>
      <c r="H28" s="37"/>
      <c r="I28" s="8"/>
      <c r="J28" s="8"/>
      <c r="K28" s="8"/>
      <c r="L28" s="8"/>
      <c r="M28" s="8"/>
      <c r="N28" s="38"/>
      <c r="O28" s="40"/>
      <c r="P28" s="8"/>
      <c r="Q28" s="8"/>
      <c r="R28" s="8"/>
      <c r="S28" s="8"/>
      <c r="T28" s="8"/>
      <c r="U28" s="8"/>
      <c r="V28" s="38"/>
      <c r="W28" s="40"/>
      <c r="X28" s="8"/>
      <c r="Y28" s="8"/>
      <c r="Z28" s="8"/>
      <c r="AA28" s="8"/>
      <c r="AB28" s="8"/>
      <c r="AC28" s="38"/>
      <c r="AD28" s="40"/>
      <c r="AE28" s="8"/>
      <c r="AF28" s="8"/>
      <c r="AG28" s="8"/>
      <c r="AH28" s="8"/>
      <c r="AI28" s="8"/>
      <c r="AJ28" s="8"/>
      <c r="AK28" s="38"/>
      <c r="AM28" s="4">
        <f>+D28*F28</f>
        <v>0</v>
      </c>
    </row>
    <row r="29" spans="2:39">
      <c r="B29" s="16" t="s">
        <v>7</v>
      </c>
      <c r="C29" s="5" t="s">
        <v>16</v>
      </c>
      <c r="D29" s="1">
        <v>3</v>
      </c>
      <c r="E29" s="6" t="s">
        <v>26</v>
      </c>
      <c r="F29" s="1">
        <v>4</v>
      </c>
      <c r="G29" s="33"/>
      <c r="H29" s="39">
        <v>4</v>
      </c>
      <c r="I29" s="17">
        <v>4</v>
      </c>
      <c r="J29" s="17">
        <v>4</v>
      </c>
      <c r="K29" s="8"/>
      <c r="L29" s="8"/>
      <c r="M29" s="8"/>
      <c r="N29" s="38"/>
      <c r="O29" s="40"/>
      <c r="P29" s="8"/>
      <c r="Q29" s="8"/>
      <c r="R29" s="8"/>
      <c r="S29" s="8"/>
      <c r="T29" s="8"/>
      <c r="U29" s="8"/>
      <c r="V29" s="38"/>
      <c r="W29" s="40"/>
      <c r="X29" s="8"/>
      <c r="Y29" s="8"/>
      <c r="Z29" s="8"/>
      <c r="AA29" s="8"/>
      <c r="AB29" s="8"/>
      <c r="AC29" s="38"/>
      <c r="AD29" s="40"/>
      <c r="AE29" s="8"/>
      <c r="AF29" s="8"/>
      <c r="AG29" s="8"/>
      <c r="AH29" s="8"/>
      <c r="AI29" s="8"/>
      <c r="AJ29" s="8"/>
      <c r="AK29" s="38"/>
      <c r="AM29" s="4">
        <f t="shared" ref="AM29:AM37" si="1">+D29*F29</f>
        <v>12</v>
      </c>
    </row>
    <row r="30" spans="2:39">
      <c r="B30" s="1" t="s">
        <v>8</v>
      </c>
      <c r="C30" s="5" t="s">
        <v>17</v>
      </c>
      <c r="D30" s="1">
        <v>7</v>
      </c>
      <c r="E30" s="1" t="s">
        <v>7</v>
      </c>
      <c r="F30" s="1">
        <v>3</v>
      </c>
      <c r="G30" s="33"/>
      <c r="H30" s="40"/>
      <c r="I30" s="8"/>
      <c r="J30" s="8"/>
      <c r="K30" s="19">
        <f>+F30</f>
        <v>3</v>
      </c>
      <c r="L30" s="19">
        <f t="shared" ref="L30:Q30" si="2">+K30</f>
        <v>3</v>
      </c>
      <c r="M30" s="19">
        <f t="shared" si="2"/>
        <v>3</v>
      </c>
      <c r="N30" s="41">
        <f t="shared" si="2"/>
        <v>3</v>
      </c>
      <c r="O30" s="46">
        <f t="shared" si="2"/>
        <v>3</v>
      </c>
      <c r="P30" s="19">
        <f t="shared" si="2"/>
        <v>3</v>
      </c>
      <c r="Q30" s="19">
        <f t="shared" si="2"/>
        <v>3</v>
      </c>
      <c r="R30" s="20"/>
      <c r="S30" s="20"/>
      <c r="T30" s="8"/>
      <c r="U30" s="8"/>
      <c r="V30" s="38"/>
      <c r="W30" s="40"/>
      <c r="X30" s="8"/>
      <c r="Y30" s="8"/>
      <c r="Z30" s="8"/>
      <c r="AA30" s="8"/>
      <c r="AB30" s="8"/>
      <c r="AC30" s="38"/>
      <c r="AD30" s="40"/>
      <c r="AE30" s="8"/>
      <c r="AF30" s="8"/>
      <c r="AG30" s="8"/>
      <c r="AH30" s="8"/>
      <c r="AI30" s="8"/>
      <c r="AJ30" s="8"/>
      <c r="AK30" s="38"/>
      <c r="AM30" s="4">
        <f t="shared" si="1"/>
        <v>21</v>
      </c>
    </row>
    <row r="31" spans="2:39">
      <c r="B31" s="16" t="s">
        <v>9</v>
      </c>
      <c r="C31" s="5" t="s">
        <v>18</v>
      </c>
      <c r="D31" s="1">
        <v>9</v>
      </c>
      <c r="E31" s="6" t="s">
        <v>7</v>
      </c>
      <c r="F31" s="1">
        <v>15</v>
      </c>
      <c r="G31" s="33"/>
      <c r="H31" s="40"/>
      <c r="I31" s="8"/>
      <c r="J31" s="8"/>
      <c r="K31" s="17">
        <f>+F31</f>
        <v>15</v>
      </c>
      <c r="L31" s="17">
        <f>+K31</f>
        <v>15</v>
      </c>
      <c r="M31" s="17">
        <f t="shared" ref="M31:S31" si="3">+L31</f>
        <v>15</v>
      </c>
      <c r="N31" s="42">
        <f t="shared" si="3"/>
        <v>15</v>
      </c>
      <c r="O31" s="39">
        <f t="shared" si="3"/>
        <v>15</v>
      </c>
      <c r="P31" s="17">
        <f t="shared" si="3"/>
        <v>15</v>
      </c>
      <c r="Q31" s="17">
        <f t="shared" si="3"/>
        <v>15</v>
      </c>
      <c r="R31" s="17">
        <f t="shared" si="3"/>
        <v>15</v>
      </c>
      <c r="S31" s="17">
        <f t="shared" si="3"/>
        <v>15</v>
      </c>
      <c r="T31" s="8"/>
      <c r="U31" s="8"/>
      <c r="V31" s="38"/>
      <c r="W31" s="40"/>
      <c r="X31" s="8"/>
      <c r="Y31" s="8"/>
      <c r="Z31" s="8"/>
      <c r="AA31" s="8"/>
      <c r="AB31" s="8"/>
      <c r="AC31" s="38"/>
      <c r="AD31" s="40"/>
      <c r="AE31" s="8"/>
      <c r="AF31" s="8"/>
      <c r="AG31" s="8"/>
      <c r="AH31" s="8"/>
      <c r="AI31" s="8"/>
      <c r="AJ31" s="8"/>
      <c r="AK31" s="38"/>
      <c r="AM31" s="4">
        <f t="shared" si="1"/>
        <v>135</v>
      </c>
    </row>
    <row r="32" spans="2:39">
      <c r="B32" s="1" t="s">
        <v>10</v>
      </c>
      <c r="C32" s="5" t="s">
        <v>19</v>
      </c>
      <c r="D32" s="1">
        <v>4</v>
      </c>
      <c r="E32" s="1" t="s">
        <v>8</v>
      </c>
      <c r="F32" s="1">
        <v>12</v>
      </c>
      <c r="G32" s="33"/>
      <c r="H32" s="40"/>
      <c r="I32" s="8"/>
      <c r="J32" s="8"/>
      <c r="K32" s="8"/>
      <c r="L32" s="8"/>
      <c r="M32" s="8"/>
      <c r="N32" s="38"/>
      <c r="O32" s="40"/>
      <c r="P32" s="8"/>
      <c r="Q32" s="8"/>
      <c r="R32" s="19">
        <f>+F32</f>
        <v>12</v>
      </c>
      <c r="S32" s="19">
        <f>+R32</f>
        <v>12</v>
      </c>
      <c r="T32" s="19">
        <f t="shared" ref="T32:U32" si="4">+S32</f>
        <v>12</v>
      </c>
      <c r="U32" s="19">
        <f t="shared" si="4"/>
        <v>12</v>
      </c>
      <c r="V32" s="47"/>
      <c r="W32" s="48"/>
      <c r="X32" s="20"/>
      <c r="Y32" s="20"/>
      <c r="Z32" s="8"/>
      <c r="AA32" s="8"/>
      <c r="AB32" s="8"/>
      <c r="AC32" s="38"/>
      <c r="AD32" s="40"/>
      <c r="AE32" s="8"/>
      <c r="AF32" s="8"/>
      <c r="AG32" s="8"/>
      <c r="AH32" s="8"/>
      <c r="AI32" s="8"/>
      <c r="AJ32" s="8"/>
      <c r="AK32" s="38"/>
      <c r="AM32" s="4">
        <f t="shared" si="1"/>
        <v>48</v>
      </c>
    </row>
    <row r="33" spans="2:39">
      <c r="B33" s="16" t="s">
        <v>11</v>
      </c>
      <c r="C33" s="5" t="s">
        <v>20</v>
      </c>
      <c r="D33" s="1">
        <v>6</v>
      </c>
      <c r="E33" s="6" t="s">
        <v>27</v>
      </c>
      <c r="F33" s="1">
        <v>28</v>
      </c>
      <c r="G33" s="33"/>
      <c r="H33" s="40"/>
      <c r="I33" s="8"/>
      <c r="J33" s="8"/>
      <c r="K33" s="8"/>
      <c r="L33" s="8"/>
      <c r="M33" s="8"/>
      <c r="N33" s="38"/>
      <c r="O33" s="40"/>
      <c r="P33" s="8"/>
      <c r="Q33" s="8"/>
      <c r="R33" s="8"/>
      <c r="S33" s="8"/>
      <c r="T33" s="17">
        <f>+F33</f>
        <v>28</v>
      </c>
      <c r="U33" s="17">
        <f>+T33</f>
        <v>28</v>
      </c>
      <c r="V33" s="42">
        <f t="shared" ref="V33:Y33" si="5">+U33</f>
        <v>28</v>
      </c>
      <c r="W33" s="39">
        <f t="shared" si="5"/>
        <v>28</v>
      </c>
      <c r="X33" s="17">
        <f t="shared" si="5"/>
        <v>28</v>
      </c>
      <c r="Y33" s="17">
        <f t="shared" si="5"/>
        <v>28</v>
      </c>
      <c r="Z33" s="8"/>
      <c r="AA33" s="8"/>
      <c r="AB33" s="8"/>
      <c r="AC33" s="38"/>
      <c r="AD33" s="40"/>
      <c r="AE33" s="8"/>
      <c r="AF33" s="8"/>
      <c r="AG33" s="8"/>
      <c r="AH33" s="8"/>
      <c r="AI33" s="8"/>
      <c r="AJ33" s="8"/>
      <c r="AK33" s="38"/>
      <c r="AM33" s="4">
        <f t="shared" si="1"/>
        <v>168</v>
      </c>
    </row>
    <row r="34" spans="2:39">
      <c r="B34" s="1" t="s">
        <v>21</v>
      </c>
      <c r="C34" s="5" t="s">
        <v>22</v>
      </c>
      <c r="D34" s="1">
        <v>4</v>
      </c>
      <c r="E34" s="1" t="s">
        <v>28</v>
      </c>
      <c r="F34" s="1">
        <v>15</v>
      </c>
      <c r="G34" s="33"/>
      <c r="H34" s="40"/>
      <c r="I34" s="8"/>
      <c r="J34" s="8"/>
      <c r="K34" s="8"/>
      <c r="L34" s="8"/>
      <c r="M34" s="8"/>
      <c r="N34" s="38"/>
      <c r="O34" s="40"/>
      <c r="P34" s="8"/>
      <c r="Q34" s="8"/>
      <c r="R34" s="8"/>
      <c r="S34" s="8"/>
      <c r="T34" s="8"/>
      <c r="U34" s="8"/>
      <c r="V34" s="38"/>
      <c r="W34" s="40"/>
      <c r="X34" s="8"/>
      <c r="Y34" s="8"/>
      <c r="Z34" s="19">
        <f>+F34</f>
        <v>15</v>
      </c>
      <c r="AA34" s="19">
        <f>+Z34</f>
        <v>15</v>
      </c>
      <c r="AB34" s="19">
        <f>+AA34</f>
        <v>15</v>
      </c>
      <c r="AC34" s="41">
        <f>+AB34</f>
        <v>15</v>
      </c>
      <c r="AD34" s="48"/>
      <c r="AE34" s="20"/>
      <c r="AF34" s="8"/>
      <c r="AG34" s="8"/>
      <c r="AH34" s="8"/>
      <c r="AI34" s="8"/>
      <c r="AJ34" s="8"/>
      <c r="AK34" s="38"/>
      <c r="AM34" s="4">
        <f t="shared" si="1"/>
        <v>60</v>
      </c>
    </row>
    <row r="35" spans="2:39">
      <c r="B35" s="16" t="s">
        <v>12</v>
      </c>
      <c r="C35" s="5" t="s">
        <v>23</v>
      </c>
      <c r="D35" s="1">
        <v>6</v>
      </c>
      <c r="E35" s="6" t="s">
        <v>11</v>
      </c>
      <c r="F35" s="1">
        <v>12</v>
      </c>
      <c r="G35" s="33"/>
      <c r="H35" s="40"/>
      <c r="I35" s="8"/>
      <c r="J35" s="8"/>
      <c r="K35" s="8"/>
      <c r="L35" s="8"/>
      <c r="M35" s="8"/>
      <c r="N35" s="38"/>
      <c r="O35" s="40"/>
      <c r="P35" s="8"/>
      <c r="Q35" s="8"/>
      <c r="R35" s="8"/>
      <c r="S35" s="8"/>
      <c r="T35" s="8"/>
      <c r="U35" s="8"/>
      <c r="V35" s="38"/>
      <c r="W35" s="40"/>
      <c r="X35" s="8"/>
      <c r="Y35" s="8"/>
      <c r="Z35" s="17">
        <f>+F35</f>
        <v>12</v>
      </c>
      <c r="AA35" s="17">
        <f>+Z35</f>
        <v>12</v>
      </c>
      <c r="AB35" s="17">
        <f t="shared" ref="AB35:AE35" si="6">+AA35</f>
        <v>12</v>
      </c>
      <c r="AC35" s="42">
        <f t="shared" si="6"/>
        <v>12</v>
      </c>
      <c r="AD35" s="39">
        <f t="shared" si="6"/>
        <v>12</v>
      </c>
      <c r="AE35" s="17">
        <f t="shared" si="6"/>
        <v>12</v>
      </c>
      <c r="AF35" s="8"/>
      <c r="AG35" s="8"/>
      <c r="AH35" s="8"/>
      <c r="AI35" s="8"/>
      <c r="AJ35" s="8"/>
      <c r="AK35" s="38"/>
      <c r="AM35" s="4">
        <f t="shared" si="1"/>
        <v>72</v>
      </c>
    </row>
    <row r="36" spans="2:39">
      <c r="B36" s="16" t="s">
        <v>13</v>
      </c>
      <c r="C36" s="5" t="s">
        <v>24</v>
      </c>
      <c r="D36" s="1">
        <v>6</v>
      </c>
      <c r="E36" s="6" t="s">
        <v>29</v>
      </c>
      <c r="F36" s="1">
        <v>9</v>
      </c>
      <c r="G36" s="33"/>
      <c r="H36" s="40"/>
      <c r="I36" s="8"/>
      <c r="J36" s="8"/>
      <c r="K36" s="8"/>
      <c r="L36" s="8"/>
      <c r="M36" s="8"/>
      <c r="N36" s="38"/>
      <c r="O36" s="40"/>
      <c r="P36" s="8"/>
      <c r="Q36" s="8"/>
      <c r="R36" s="8"/>
      <c r="S36" s="8"/>
      <c r="T36" s="8"/>
      <c r="U36" s="8"/>
      <c r="V36" s="38"/>
      <c r="W36" s="40"/>
      <c r="X36" s="8"/>
      <c r="Y36" s="8"/>
      <c r="Z36" s="8"/>
      <c r="AA36" s="8"/>
      <c r="AB36" s="8"/>
      <c r="AC36" s="38"/>
      <c r="AD36" s="40"/>
      <c r="AE36" s="8"/>
      <c r="AF36" s="17">
        <f>+F36</f>
        <v>9</v>
      </c>
      <c r="AG36" s="17">
        <f>+AF36</f>
        <v>9</v>
      </c>
      <c r="AH36" s="17">
        <f t="shared" ref="AH36:AK36" si="7">+AG36</f>
        <v>9</v>
      </c>
      <c r="AI36" s="17">
        <f t="shared" si="7"/>
        <v>9</v>
      </c>
      <c r="AJ36" s="17">
        <f t="shared" si="7"/>
        <v>9</v>
      </c>
      <c r="AK36" s="42">
        <f t="shared" si="7"/>
        <v>9</v>
      </c>
      <c r="AM36" s="4">
        <f t="shared" si="1"/>
        <v>54</v>
      </c>
    </row>
    <row r="37" spans="2:39" ht="14.4" thickBot="1">
      <c r="B37" s="16" t="s">
        <v>14</v>
      </c>
      <c r="C37" s="5" t="s">
        <v>25</v>
      </c>
      <c r="D37" s="1">
        <v>0</v>
      </c>
      <c r="E37" s="6" t="s">
        <v>13</v>
      </c>
      <c r="F37" s="1">
        <v>0</v>
      </c>
      <c r="G37" s="33"/>
      <c r="H37" s="43"/>
      <c r="I37" s="44"/>
      <c r="J37" s="44"/>
      <c r="K37" s="44"/>
      <c r="L37" s="44"/>
      <c r="M37" s="44"/>
      <c r="N37" s="45"/>
      <c r="O37" s="43"/>
      <c r="P37" s="44"/>
      <c r="Q37" s="44"/>
      <c r="R37" s="44"/>
      <c r="S37" s="44"/>
      <c r="T37" s="44"/>
      <c r="U37" s="44"/>
      <c r="V37" s="45"/>
      <c r="W37" s="43"/>
      <c r="X37" s="44"/>
      <c r="Y37" s="44"/>
      <c r="Z37" s="44"/>
      <c r="AA37" s="44"/>
      <c r="AB37" s="44"/>
      <c r="AC37" s="45"/>
      <c r="AD37" s="43"/>
      <c r="AE37" s="44"/>
      <c r="AF37" s="44"/>
      <c r="AG37" s="44"/>
      <c r="AH37" s="44"/>
      <c r="AI37" s="44"/>
      <c r="AJ37" s="44"/>
      <c r="AK37" s="49"/>
      <c r="AM37" s="4">
        <f t="shared" si="1"/>
        <v>0</v>
      </c>
    </row>
    <row r="38" spans="2:39">
      <c r="F38" t="s">
        <v>42</v>
      </c>
      <c r="H38" s="4">
        <f>SUM(H28:H37)</f>
        <v>4</v>
      </c>
      <c r="I38" s="4">
        <f>SUM(I28:I37)</f>
        <v>4</v>
      </c>
      <c r="J38" s="4">
        <f>SUM(J28:J37)</f>
        <v>4</v>
      </c>
      <c r="K38" s="4">
        <f>SUM(K28:K37)</f>
        <v>18</v>
      </c>
      <c r="L38" s="4">
        <f t="shared" ref="L38:AK38" si="8">SUM(L28:L37)</f>
        <v>18</v>
      </c>
      <c r="M38" s="4">
        <f t="shared" si="8"/>
        <v>18</v>
      </c>
      <c r="N38" s="4">
        <f t="shared" si="8"/>
        <v>18</v>
      </c>
      <c r="O38" s="4">
        <f t="shared" si="8"/>
        <v>18</v>
      </c>
      <c r="P38" s="4">
        <f t="shared" si="8"/>
        <v>18</v>
      </c>
      <c r="Q38" s="4">
        <f t="shared" si="8"/>
        <v>18</v>
      </c>
      <c r="R38" s="4">
        <f t="shared" si="8"/>
        <v>27</v>
      </c>
      <c r="S38" s="4">
        <f t="shared" si="8"/>
        <v>27</v>
      </c>
      <c r="T38" s="4">
        <f t="shared" si="8"/>
        <v>40</v>
      </c>
      <c r="U38" s="4">
        <f t="shared" si="8"/>
        <v>40</v>
      </c>
      <c r="V38" s="4">
        <f t="shared" si="8"/>
        <v>28</v>
      </c>
      <c r="W38" s="4">
        <f t="shared" si="8"/>
        <v>28</v>
      </c>
      <c r="X38" s="4">
        <f t="shared" si="8"/>
        <v>28</v>
      </c>
      <c r="Y38" s="4">
        <f t="shared" si="8"/>
        <v>28</v>
      </c>
      <c r="Z38" s="4">
        <f t="shared" si="8"/>
        <v>27</v>
      </c>
      <c r="AA38" s="4">
        <f t="shared" si="8"/>
        <v>27</v>
      </c>
      <c r="AB38" s="4">
        <f t="shared" si="8"/>
        <v>27</v>
      </c>
      <c r="AC38" s="4">
        <f t="shared" si="8"/>
        <v>27</v>
      </c>
      <c r="AD38" s="4">
        <f t="shared" si="8"/>
        <v>12</v>
      </c>
      <c r="AE38" s="4">
        <f t="shared" si="8"/>
        <v>12</v>
      </c>
      <c r="AF38" s="4">
        <f t="shared" si="8"/>
        <v>9</v>
      </c>
      <c r="AG38" s="4">
        <f t="shared" si="8"/>
        <v>9</v>
      </c>
      <c r="AH38" s="4">
        <f t="shared" si="8"/>
        <v>9</v>
      </c>
      <c r="AI38" s="4">
        <f t="shared" si="8"/>
        <v>9</v>
      </c>
      <c r="AJ38" s="4">
        <f t="shared" si="8"/>
        <v>9</v>
      </c>
      <c r="AK38" s="4">
        <f t="shared" si="8"/>
        <v>9</v>
      </c>
    </row>
    <row r="39" spans="2:39">
      <c r="F39" t="s">
        <v>43</v>
      </c>
      <c r="G39" s="4">
        <v>0</v>
      </c>
      <c r="H39" s="4">
        <f>+H38+G39</f>
        <v>4</v>
      </c>
      <c r="I39" s="4">
        <f>+I38+H39</f>
        <v>8</v>
      </c>
      <c r="J39" s="4">
        <f>+J38+I39</f>
        <v>12</v>
      </c>
      <c r="K39" s="4">
        <f>+K38+J39</f>
        <v>30</v>
      </c>
      <c r="L39" s="4">
        <f t="shared" ref="L39:AK39" si="9">+L38+K39</f>
        <v>48</v>
      </c>
      <c r="M39" s="4">
        <f t="shared" si="9"/>
        <v>66</v>
      </c>
      <c r="N39" s="4">
        <f t="shared" si="9"/>
        <v>84</v>
      </c>
      <c r="O39" s="4">
        <f t="shared" si="9"/>
        <v>102</v>
      </c>
      <c r="P39" s="4">
        <f t="shared" si="9"/>
        <v>120</v>
      </c>
      <c r="Q39" s="4">
        <f t="shared" si="9"/>
        <v>138</v>
      </c>
      <c r="R39" s="4">
        <f t="shared" si="9"/>
        <v>165</v>
      </c>
      <c r="S39" s="4">
        <f t="shared" si="9"/>
        <v>192</v>
      </c>
      <c r="T39" s="4">
        <f t="shared" si="9"/>
        <v>232</v>
      </c>
      <c r="U39" s="4">
        <f t="shared" si="9"/>
        <v>272</v>
      </c>
      <c r="V39" s="4">
        <f t="shared" si="9"/>
        <v>300</v>
      </c>
      <c r="W39" s="4">
        <f t="shared" si="9"/>
        <v>328</v>
      </c>
      <c r="X39" s="4">
        <f t="shared" si="9"/>
        <v>356</v>
      </c>
      <c r="Y39" s="4">
        <f t="shared" si="9"/>
        <v>384</v>
      </c>
      <c r="Z39" s="4">
        <f t="shared" si="9"/>
        <v>411</v>
      </c>
      <c r="AA39" s="4">
        <f t="shared" si="9"/>
        <v>438</v>
      </c>
      <c r="AB39" s="4">
        <f t="shared" si="9"/>
        <v>465</v>
      </c>
      <c r="AC39" s="4">
        <f t="shared" si="9"/>
        <v>492</v>
      </c>
      <c r="AD39" s="4">
        <f t="shared" si="9"/>
        <v>504</v>
      </c>
      <c r="AE39" s="4">
        <f t="shared" si="9"/>
        <v>516</v>
      </c>
      <c r="AF39" s="4">
        <f t="shared" si="9"/>
        <v>525</v>
      </c>
      <c r="AG39" s="4">
        <f t="shared" si="9"/>
        <v>534</v>
      </c>
      <c r="AH39" s="4">
        <f t="shared" si="9"/>
        <v>543</v>
      </c>
      <c r="AI39" s="4">
        <f t="shared" si="9"/>
        <v>552</v>
      </c>
      <c r="AJ39" s="4">
        <f t="shared" si="9"/>
        <v>561</v>
      </c>
      <c r="AK39" s="21">
        <f t="shared" si="9"/>
        <v>570</v>
      </c>
      <c r="AM39" s="21">
        <f>SUM(AM28:AM38)</f>
        <v>570</v>
      </c>
    </row>
    <row r="40" spans="2:39">
      <c r="F40" t="s">
        <v>45</v>
      </c>
      <c r="G40" s="23">
        <f>+G39/$AK$39</f>
        <v>0</v>
      </c>
      <c r="H40" s="23">
        <f t="shared" ref="H40:AK40" si="10">+H39/$AK$39</f>
        <v>7.0175438596491229E-3</v>
      </c>
      <c r="I40" s="23">
        <f t="shared" si="10"/>
        <v>1.4035087719298246E-2</v>
      </c>
      <c r="J40" s="23">
        <f t="shared" si="10"/>
        <v>2.1052631578947368E-2</v>
      </c>
      <c r="K40" s="23">
        <f t="shared" si="10"/>
        <v>5.2631578947368418E-2</v>
      </c>
      <c r="L40" s="23">
        <f t="shared" si="10"/>
        <v>8.4210526315789472E-2</v>
      </c>
      <c r="M40" s="23">
        <f t="shared" si="10"/>
        <v>0.11578947368421053</v>
      </c>
      <c r="N40" s="23">
        <f t="shared" si="10"/>
        <v>0.14736842105263157</v>
      </c>
      <c r="O40" s="23">
        <f t="shared" si="10"/>
        <v>0.17894736842105263</v>
      </c>
      <c r="P40" s="23">
        <f t="shared" si="10"/>
        <v>0.21052631578947367</v>
      </c>
      <c r="Q40" s="23">
        <f t="shared" si="10"/>
        <v>0.24210526315789474</v>
      </c>
      <c r="R40" s="23">
        <f t="shared" si="10"/>
        <v>0.28947368421052633</v>
      </c>
      <c r="S40" s="23">
        <f t="shared" si="10"/>
        <v>0.33684210526315789</v>
      </c>
      <c r="T40" s="23">
        <f t="shared" si="10"/>
        <v>0.40701754385964911</v>
      </c>
      <c r="U40" s="23">
        <f t="shared" si="10"/>
        <v>0.47719298245614034</v>
      </c>
      <c r="V40" s="23">
        <f t="shared" si="10"/>
        <v>0.52631578947368418</v>
      </c>
      <c r="W40" s="23">
        <f t="shared" si="10"/>
        <v>0.57543859649122808</v>
      </c>
      <c r="X40" s="23">
        <f t="shared" si="10"/>
        <v>0.62456140350877198</v>
      </c>
      <c r="Y40" s="23">
        <f t="shared" si="10"/>
        <v>0.67368421052631577</v>
      </c>
      <c r="Z40" s="23">
        <f t="shared" si="10"/>
        <v>0.72105263157894739</v>
      </c>
      <c r="AA40" s="23">
        <f t="shared" si="10"/>
        <v>0.76842105263157889</v>
      </c>
      <c r="AB40" s="23">
        <f t="shared" si="10"/>
        <v>0.81578947368421051</v>
      </c>
      <c r="AC40" s="23">
        <f t="shared" si="10"/>
        <v>0.86315789473684212</v>
      </c>
      <c r="AD40" s="23">
        <f t="shared" si="10"/>
        <v>0.88421052631578945</v>
      </c>
      <c r="AE40" s="23">
        <f t="shared" si="10"/>
        <v>0.90526315789473688</v>
      </c>
      <c r="AF40" s="23">
        <f t="shared" si="10"/>
        <v>0.92105263157894735</v>
      </c>
      <c r="AG40" s="23">
        <f t="shared" si="10"/>
        <v>0.93684210526315792</v>
      </c>
      <c r="AH40" s="23">
        <f t="shared" si="10"/>
        <v>0.95263157894736838</v>
      </c>
      <c r="AI40" s="23">
        <f t="shared" si="10"/>
        <v>0.96842105263157896</v>
      </c>
      <c r="AJ40" s="23">
        <f t="shared" si="10"/>
        <v>0.98421052631578942</v>
      </c>
      <c r="AK40" s="23">
        <f t="shared" si="10"/>
        <v>1</v>
      </c>
    </row>
    <row r="42" spans="2:39">
      <c r="E42" s="24" t="s">
        <v>46</v>
      </c>
    </row>
    <row r="44" spans="2:39">
      <c r="E44" s="4" t="s">
        <v>47</v>
      </c>
      <c r="F44" s="4" t="s">
        <v>5</v>
      </c>
    </row>
    <row r="45" spans="2:39">
      <c r="E45" s="4">
        <v>1</v>
      </c>
      <c r="F45" s="4">
        <v>4</v>
      </c>
    </row>
    <row r="46" spans="2:39">
      <c r="E46" s="4">
        <v>2</v>
      </c>
      <c r="F46" s="4">
        <v>4</v>
      </c>
    </row>
    <row r="47" spans="2:39">
      <c r="E47" s="4">
        <v>3</v>
      </c>
      <c r="F47" s="4">
        <v>4</v>
      </c>
    </row>
    <row r="48" spans="2:39">
      <c r="E48" s="4">
        <v>4</v>
      </c>
      <c r="F48" s="4">
        <v>18</v>
      </c>
    </row>
    <row r="49" spans="5:6">
      <c r="E49" s="4">
        <v>5</v>
      </c>
      <c r="F49" s="4">
        <v>18</v>
      </c>
    </row>
    <row r="50" spans="5:6">
      <c r="E50" s="4">
        <v>6</v>
      </c>
      <c r="F50" s="4">
        <v>18</v>
      </c>
    </row>
    <row r="51" spans="5:6">
      <c r="E51" s="4">
        <v>7</v>
      </c>
      <c r="F51" s="4">
        <v>18</v>
      </c>
    </row>
    <row r="52" spans="5:6">
      <c r="E52" s="4">
        <v>8</v>
      </c>
      <c r="F52" s="4">
        <v>18</v>
      </c>
    </row>
    <row r="53" spans="5:6">
      <c r="E53" s="4">
        <v>9</v>
      </c>
      <c r="F53" s="4">
        <v>18</v>
      </c>
    </row>
    <row r="54" spans="5:6">
      <c r="E54" s="4">
        <v>10</v>
      </c>
      <c r="F54" s="4">
        <v>18</v>
      </c>
    </row>
    <row r="55" spans="5:6">
      <c r="E55" s="4">
        <v>11</v>
      </c>
      <c r="F55" s="4">
        <v>27</v>
      </c>
    </row>
    <row r="56" spans="5:6">
      <c r="E56" s="4">
        <v>12</v>
      </c>
      <c r="F56" s="4">
        <v>27</v>
      </c>
    </row>
    <row r="57" spans="5:6">
      <c r="E57" s="4">
        <v>13</v>
      </c>
      <c r="F57" s="4">
        <v>40</v>
      </c>
    </row>
    <row r="58" spans="5:6">
      <c r="E58" s="4">
        <v>14</v>
      </c>
      <c r="F58" s="4">
        <v>40</v>
      </c>
    </row>
    <row r="59" spans="5:6">
      <c r="E59" s="4">
        <v>15</v>
      </c>
      <c r="F59" s="4">
        <v>28</v>
      </c>
    </row>
    <row r="60" spans="5:6">
      <c r="E60" s="4">
        <v>16</v>
      </c>
      <c r="F60" s="4">
        <v>28</v>
      </c>
    </row>
    <row r="61" spans="5:6">
      <c r="E61" s="4">
        <v>17</v>
      </c>
      <c r="F61" s="4">
        <v>28</v>
      </c>
    </row>
    <row r="62" spans="5:6">
      <c r="E62" s="4">
        <v>18</v>
      </c>
      <c r="F62" s="4">
        <v>28</v>
      </c>
    </row>
    <row r="63" spans="5:6">
      <c r="E63" s="4">
        <v>19</v>
      </c>
      <c r="F63" s="4">
        <v>27</v>
      </c>
    </row>
    <row r="64" spans="5:6">
      <c r="E64" s="4">
        <v>20</v>
      </c>
      <c r="F64" s="4">
        <v>27</v>
      </c>
    </row>
    <row r="65" spans="5:6">
      <c r="E65" s="4">
        <v>21</v>
      </c>
      <c r="F65" s="4">
        <v>27</v>
      </c>
    </row>
    <row r="66" spans="5:6">
      <c r="E66" s="4">
        <v>22</v>
      </c>
      <c r="F66" s="4">
        <v>27</v>
      </c>
    </row>
    <row r="67" spans="5:6">
      <c r="E67" s="4">
        <v>23</v>
      </c>
      <c r="F67" s="4">
        <v>12</v>
      </c>
    </row>
    <row r="68" spans="5:6">
      <c r="E68" s="4">
        <v>24</v>
      </c>
      <c r="F68" s="4">
        <v>12</v>
      </c>
    </row>
    <row r="69" spans="5:6">
      <c r="E69" s="4">
        <v>25</v>
      </c>
      <c r="F69" s="4">
        <v>9</v>
      </c>
    </row>
    <row r="70" spans="5:6">
      <c r="E70" s="4">
        <v>26</v>
      </c>
      <c r="F70" s="4">
        <v>9</v>
      </c>
    </row>
    <row r="71" spans="5:6">
      <c r="E71" s="4">
        <v>27</v>
      </c>
      <c r="F71" s="4">
        <v>9</v>
      </c>
    </row>
    <row r="72" spans="5:6">
      <c r="E72" s="4">
        <v>28</v>
      </c>
      <c r="F72" s="4">
        <v>9</v>
      </c>
    </row>
    <row r="73" spans="5:6">
      <c r="E73" s="4">
        <v>29</v>
      </c>
      <c r="F73" s="4">
        <v>9</v>
      </c>
    </row>
    <row r="74" spans="5:6">
      <c r="E74" s="4">
        <v>30</v>
      </c>
      <c r="F74" s="4">
        <v>9</v>
      </c>
    </row>
    <row r="77" spans="5:6">
      <c r="E77" s="24" t="s">
        <v>48</v>
      </c>
    </row>
    <row r="79" spans="5:6">
      <c r="E79" s="4" t="s">
        <v>47</v>
      </c>
      <c r="F79" s="4" t="s">
        <v>45</v>
      </c>
    </row>
    <row r="80" spans="5:6">
      <c r="E80" s="4">
        <v>0</v>
      </c>
      <c r="F80" s="25">
        <v>0</v>
      </c>
    </row>
    <row r="81" spans="5:6">
      <c r="E81" s="4">
        <v>1</v>
      </c>
      <c r="F81" s="25">
        <v>7.0175438596491229E-3</v>
      </c>
    </row>
    <row r="82" spans="5:6">
      <c r="E82" s="4">
        <v>2</v>
      </c>
      <c r="F82" s="25">
        <v>1.4035087719298246E-2</v>
      </c>
    </row>
    <row r="83" spans="5:6">
      <c r="E83" s="4">
        <v>3</v>
      </c>
      <c r="F83" s="25">
        <v>2.1052631578947368E-2</v>
      </c>
    </row>
    <row r="84" spans="5:6">
      <c r="E84" s="4">
        <v>4</v>
      </c>
      <c r="F84" s="25">
        <v>5.2631578947368418E-2</v>
      </c>
    </row>
    <row r="85" spans="5:6">
      <c r="E85" s="4">
        <v>5</v>
      </c>
      <c r="F85" s="25">
        <v>8.4210526315789472E-2</v>
      </c>
    </row>
    <row r="86" spans="5:6">
      <c r="E86" s="4">
        <v>6</v>
      </c>
      <c r="F86" s="25">
        <v>0.11578947368421053</v>
      </c>
    </row>
    <row r="87" spans="5:6">
      <c r="E87" s="4">
        <v>7</v>
      </c>
      <c r="F87" s="25">
        <v>0.14736842105263157</v>
      </c>
    </row>
    <row r="88" spans="5:6">
      <c r="E88" s="4">
        <v>8</v>
      </c>
      <c r="F88" s="25">
        <v>0.17894736842105263</v>
      </c>
    </row>
    <row r="89" spans="5:6">
      <c r="E89" s="4">
        <v>9</v>
      </c>
      <c r="F89" s="25">
        <v>0.21052631578947367</v>
      </c>
    </row>
    <row r="90" spans="5:6">
      <c r="E90" s="4">
        <v>10</v>
      </c>
      <c r="F90" s="25">
        <v>0.24210526315789474</v>
      </c>
    </row>
    <row r="91" spans="5:6">
      <c r="E91" s="4">
        <v>11</v>
      </c>
      <c r="F91" s="25">
        <v>0.28947368421052633</v>
      </c>
    </row>
    <row r="92" spans="5:6">
      <c r="E92" s="4">
        <v>12</v>
      </c>
      <c r="F92" s="25">
        <v>0.33684210526315789</v>
      </c>
    </row>
    <row r="93" spans="5:6">
      <c r="E93" s="4">
        <v>13</v>
      </c>
      <c r="F93" s="25">
        <v>0.40701754385964911</v>
      </c>
    </row>
    <row r="94" spans="5:6">
      <c r="E94" s="4">
        <v>14</v>
      </c>
      <c r="F94" s="25">
        <v>0.47719298245614034</v>
      </c>
    </row>
    <row r="95" spans="5:6">
      <c r="E95" s="4">
        <v>15</v>
      </c>
      <c r="F95" s="25">
        <v>0.52631578947368418</v>
      </c>
    </row>
    <row r="96" spans="5:6">
      <c r="E96" s="4">
        <v>16</v>
      </c>
      <c r="F96" s="25">
        <v>0.57543859649122808</v>
      </c>
    </row>
    <row r="97" spans="5:6">
      <c r="E97" s="4">
        <v>17</v>
      </c>
      <c r="F97" s="25">
        <v>0.62456140350877198</v>
      </c>
    </row>
    <row r="98" spans="5:6">
      <c r="E98" s="4">
        <v>18</v>
      </c>
      <c r="F98" s="25">
        <v>0.67368421052631577</v>
      </c>
    </row>
    <row r="99" spans="5:6">
      <c r="E99" s="4">
        <v>19</v>
      </c>
      <c r="F99" s="25">
        <v>0.72105263157894739</v>
      </c>
    </row>
    <row r="100" spans="5:6">
      <c r="E100" s="4">
        <v>20</v>
      </c>
      <c r="F100" s="25">
        <v>0.76842105263157889</v>
      </c>
    </row>
    <row r="101" spans="5:6">
      <c r="E101" s="4">
        <v>21</v>
      </c>
      <c r="F101" s="25">
        <v>0.81578947368421051</v>
      </c>
    </row>
    <row r="102" spans="5:6">
      <c r="E102" s="4">
        <v>22</v>
      </c>
      <c r="F102" s="25">
        <v>0.86315789473684212</v>
      </c>
    </row>
    <row r="103" spans="5:6">
      <c r="E103" s="4">
        <v>23</v>
      </c>
      <c r="F103" s="25">
        <v>0.88421052631578945</v>
      </c>
    </row>
    <row r="104" spans="5:6">
      <c r="E104" s="4">
        <v>24</v>
      </c>
      <c r="F104" s="25">
        <v>0.90526315789473688</v>
      </c>
    </row>
    <row r="105" spans="5:6">
      <c r="E105" s="4">
        <v>25</v>
      </c>
      <c r="F105" s="25">
        <v>0.92105263157894735</v>
      </c>
    </row>
    <row r="106" spans="5:6">
      <c r="E106" s="4">
        <v>26</v>
      </c>
      <c r="F106" s="25">
        <v>0.93684210526315792</v>
      </c>
    </row>
    <row r="107" spans="5:6">
      <c r="E107" s="4">
        <v>27</v>
      </c>
      <c r="F107" s="25">
        <v>0.95263157894736838</v>
      </c>
    </row>
    <row r="108" spans="5:6">
      <c r="E108" s="4">
        <v>28</v>
      </c>
      <c r="F108" s="25">
        <v>0.96842105263157896</v>
      </c>
    </row>
    <row r="109" spans="5:6">
      <c r="E109" s="4">
        <v>29</v>
      </c>
      <c r="F109" s="25">
        <v>0.98421052631578942</v>
      </c>
    </row>
    <row r="110" spans="5:6">
      <c r="E110" s="4">
        <v>30</v>
      </c>
      <c r="F110" s="25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03E6-7303-4846-B045-14AE32526010}">
  <dimension ref="A2:BL41"/>
  <sheetViews>
    <sheetView tabSelected="1" zoomScaleNormal="100" workbookViewId="0">
      <selection activeCell="J13" sqref="J13"/>
    </sheetView>
  </sheetViews>
  <sheetFormatPr baseColWidth="10" defaultRowHeight="13.8"/>
  <cols>
    <col min="1" max="1" width="1.296875" customWidth="1"/>
    <col min="2" max="2" width="8" customWidth="1"/>
    <col min="3" max="3" width="26.59765625" customWidth="1"/>
    <col min="4" max="4" width="8.59765625" customWidth="1"/>
    <col min="5" max="5" width="14.3984375" bestFit="1" customWidth="1"/>
    <col min="6" max="6" width="20.19921875" bestFit="1" customWidth="1"/>
    <col min="7" max="7" width="15" bestFit="1" customWidth="1"/>
    <col min="8" max="8" width="12.3984375" customWidth="1"/>
    <col min="9" max="9" width="11.09765625" style="4" customWidth="1"/>
    <col min="10" max="11" width="11.8984375" style="4" bestFit="1" customWidth="1"/>
    <col min="12" max="12" width="11" style="4" bestFit="1" customWidth="1"/>
    <col min="13" max="13" width="22.19921875" style="4" bestFit="1" customWidth="1"/>
    <col min="14" max="29" width="10.3984375" style="4" customWidth="1"/>
    <col min="30" max="64" width="4.3984375" style="4" customWidth="1"/>
  </cols>
  <sheetData>
    <row r="2" spans="2:14">
      <c r="B2" t="s">
        <v>49</v>
      </c>
    </row>
    <row r="3" spans="2:14">
      <c r="B3" t="s">
        <v>66</v>
      </c>
    </row>
    <row r="4" spans="2:14">
      <c r="B4" t="s">
        <v>50</v>
      </c>
    </row>
    <row r="5" spans="2:14">
      <c r="E5" s="32" t="s">
        <v>74</v>
      </c>
      <c r="F5" s="32" t="s">
        <v>76</v>
      </c>
      <c r="I5" s="59">
        <f>+I6</f>
        <v>0.14742248430663876</v>
      </c>
      <c r="J5" s="59">
        <f>+J6+I5</f>
        <v>0.50732356857523297</v>
      </c>
      <c r="K5" s="59">
        <f>+K6+J5</f>
        <v>0.88921438082556592</v>
      </c>
      <c r="L5" s="59">
        <f>+L6+K5</f>
        <v>1</v>
      </c>
      <c r="M5" s="4" t="s">
        <v>87</v>
      </c>
    </row>
    <row r="6" spans="2:14">
      <c r="B6" s="30" t="s">
        <v>71</v>
      </c>
      <c r="C6" s="30"/>
      <c r="D6" s="31" t="s">
        <v>72</v>
      </c>
      <c r="E6" s="8" t="s">
        <v>73</v>
      </c>
      <c r="F6" s="8" t="s">
        <v>75</v>
      </c>
      <c r="G6" s="8" t="s">
        <v>77</v>
      </c>
      <c r="I6" s="58">
        <f>I16/$G$16</f>
        <v>0.14742248430663876</v>
      </c>
      <c r="J6" s="58">
        <f>J16/$G$16</f>
        <v>0.35990108426859424</v>
      </c>
      <c r="K6" s="58">
        <f>K16/$G$16</f>
        <v>0.38189081225033289</v>
      </c>
      <c r="L6" s="58">
        <f>L16/$G$16</f>
        <v>0.11078561917443409</v>
      </c>
      <c r="M6" s="4" t="s">
        <v>86</v>
      </c>
    </row>
    <row r="7" spans="2:14">
      <c r="B7" s="1" t="s">
        <v>51</v>
      </c>
      <c r="C7" s="5" t="s">
        <v>2</v>
      </c>
      <c r="D7" s="1" t="s">
        <v>52</v>
      </c>
      <c r="E7" s="1" t="s">
        <v>53</v>
      </c>
      <c r="F7" s="1" t="s">
        <v>54</v>
      </c>
      <c r="G7" s="1" t="s">
        <v>55</v>
      </c>
      <c r="I7" s="8" t="s">
        <v>82</v>
      </c>
      <c r="J7" s="8" t="s">
        <v>83</v>
      </c>
      <c r="K7" s="8" t="s">
        <v>84</v>
      </c>
      <c r="L7" s="8" t="s">
        <v>85</v>
      </c>
    </row>
    <row r="8" spans="2:14" s="4" customFormat="1">
      <c r="B8" s="1" t="s">
        <v>7</v>
      </c>
      <c r="C8" s="5" t="s">
        <v>16</v>
      </c>
      <c r="D8" s="1" t="s">
        <v>56</v>
      </c>
      <c r="E8" s="6">
        <v>1</v>
      </c>
      <c r="F8" s="26">
        <v>1650000</v>
      </c>
      <c r="G8" s="27">
        <f>+E8*F8</f>
        <v>1650000</v>
      </c>
      <c r="H8"/>
      <c r="I8" s="56">
        <f>D34*$G8</f>
        <v>1650000</v>
      </c>
      <c r="J8" s="56">
        <f>+$G8*E34</f>
        <v>0</v>
      </c>
      <c r="K8" s="56">
        <f t="shared" ref="K8:L8" si="0">+$G8*F34</f>
        <v>0</v>
      </c>
      <c r="L8" s="56">
        <f t="shared" si="0"/>
        <v>0</v>
      </c>
      <c r="M8" s="51"/>
      <c r="N8" s="51"/>
    </row>
    <row r="9" spans="2:14" s="4" customFormat="1">
      <c r="B9" s="1" t="s">
        <v>8</v>
      </c>
      <c r="C9" s="5" t="s">
        <v>17</v>
      </c>
      <c r="D9" s="1" t="s">
        <v>56</v>
      </c>
      <c r="E9" s="1">
        <v>1</v>
      </c>
      <c r="F9" s="26">
        <v>1200000</v>
      </c>
      <c r="G9" s="27">
        <f t="shared" ref="G9:G15" si="1">+E9*F9</f>
        <v>1200000</v>
      </c>
      <c r="H9"/>
      <c r="I9" s="56">
        <f>+$G$9*D35</f>
        <v>685714.28571428568</v>
      </c>
      <c r="J9" s="56">
        <f>+G9*E35</f>
        <v>514285.71428571426</v>
      </c>
      <c r="K9" s="56">
        <f>+G9*F35</f>
        <v>0</v>
      </c>
      <c r="L9" s="56">
        <f>G9*G35</f>
        <v>0</v>
      </c>
      <c r="M9" s="51"/>
      <c r="N9" s="51"/>
    </row>
    <row r="10" spans="2:14" s="4" customFormat="1">
      <c r="B10" s="1" t="s">
        <v>9</v>
      </c>
      <c r="C10" s="5" t="s">
        <v>18</v>
      </c>
      <c r="D10" s="1" t="s">
        <v>56</v>
      </c>
      <c r="E10" s="6">
        <v>1</v>
      </c>
      <c r="F10" s="26">
        <v>7200000</v>
      </c>
      <c r="G10" s="27">
        <f t="shared" si="1"/>
        <v>7200000</v>
      </c>
      <c r="H10"/>
      <c r="I10" s="56">
        <f>+G10*D36</f>
        <v>3200000</v>
      </c>
      <c r="J10" s="56">
        <f>+G10*E36</f>
        <v>4000000</v>
      </c>
      <c r="K10" s="56">
        <f>+G10*F36</f>
        <v>0</v>
      </c>
      <c r="L10" s="56">
        <f>+G10*G36</f>
        <v>0</v>
      </c>
      <c r="M10" s="51"/>
      <c r="N10" s="51"/>
    </row>
    <row r="11" spans="2:14" s="4" customFormat="1">
      <c r="B11" s="1" t="s">
        <v>10</v>
      </c>
      <c r="C11" s="5" t="s">
        <v>19</v>
      </c>
      <c r="D11" s="1" t="s">
        <v>56</v>
      </c>
      <c r="E11" s="1">
        <v>1</v>
      </c>
      <c r="F11" s="26">
        <v>4500000</v>
      </c>
      <c r="G11" s="27">
        <f t="shared" si="1"/>
        <v>4500000</v>
      </c>
      <c r="H11"/>
      <c r="I11" s="56">
        <f>+G11*D37</f>
        <v>0</v>
      </c>
      <c r="J11" s="56">
        <f>+G11*E37</f>
        <v>4500000</v>
      </c>
      <c r="K11" s="56">
        <f>+G11*F37</f>
        <v>0</v>
      </c>
      <c r="L11" s="56">
        <f>+G11*G37</f>
        <v>0</v>
      </c>
      <c r="M11" s="51"/>
      <c r="N11" s="51"/>
    </row>
    <row r="12" spans="2:14" s="4" customFormat="1">
      <c r="B12" s="1" t="s">
        <v>11</v>
      </c>
      <c r="C12" s="5" t="s">
        <v>20</v>
      </c>
      <c r="D12" s="1" t="s">
        <v>56</v>
      </c>
      <c r="E12" s="6">
        <v>1</v>
      </c>
      <c r="F12" s="26">
        <v>9000000</v>
      </c>
      <c r="G12" s="27">
        <f t="shared" si="1"/>
        <v>9000000</v>
      </c>
      <c r="H12"/>
      <c r="I12" s="56">
        <f>+G12*D38</f>
        <v>0</v>
      </c>
      <c r="J12" s="56">
        <f>+G12*E38</f>
        <v>4500000</v>
      </c>
      <c r="K12" s="56">
        <f>+G12*F38</f>
        <v>4500000</v>
      </c>
      <c r="L12" s="56">
        <f>+G12*G38</f>
        <v>0</v>
      </c>
      <c r="M12" s="51"/>
      <c r="N12" s="51"/>
    </row>
    <row r="13" spans="2:14" s="4" customFormat="1">
      <c r="B13" s="1" t="s">
        <v>21</v>
      </c>
      <c r="C13" s="5" t="s">
        <v>22</v>
      </c>
      <c r="D13" s="1" t="s">
        <v>56</v>
      </c>
      <c r="E13" s="1">
        <v>1</v>
      </c>
      <c r="F13" s="26">
        <v>7200000</v>
      </c>
      <c r="G13" s="27">
        <f t="shared" si="1"/>
        <v>7200000</v>
      </c>
      <c r="H13"/>
      <c r="I13" s="56">
        <f>G13*D39</f>
        <v>0</v>
      </c>
      <c r="J13" s="56">
        <f>G13*E39</f>
        <v>0</v>
      </c>
      <c r="K13" s="56">
        <f>G13*F39</f>
        <v>7200000</v>
      </c>
      <c r="L13" s="56">
        <f>G13*G39</f>
        <v>0</v>
      </c>
      <c r="M13" s="51"/>
      <c r="N13" s="51"/>
    </row>
    <row r="14" spans="2:14" s="4" customFormat="1">
      <c r="B14" s="1" t="s">
        <v>12</v>
      </c>
      <c r="C14" s="5" t="s">
        <v>23</v>
      </c>
      <c r="D14" s="1" t="s">
        <v>56</v>
      </c>
      <c r="E14" s="6">
        <v>1</v>
      </c>
      <c r="F14" s="26">
        <v>4000000</v>
      </c>
      <c r="G14" s="27">
        <f t="shared" si="1"/>
        <v>4000000</v>
      </c>
      <c r="H14"/>
      <c r="I14" s="56">
        <f>G14*D40</f>
        <v>0</v>
      </c>
      <c r="J14" s="56">
        <f>G14*E40</f>
        <v>0</v>
      </c>
      <c r="K14" s="56">
        <f>G14*F40</f>
        <v>2640000</v>
      </c>
      <c r="L14" s="56">
        <f>G14*G40</f>
        <v>1360000</v>
      </c>
      <c r="M14" s="51"/>
      <c r="N14" s="51"/>
    </row>
    <row r="15" spans="2:14" s="4" customFormat="1">
      <c r="B15" s="1" t="s">
        <v>13</v>
      </c>
      <c r="C15" s="5" t="s">
        <v>24</v>
      </c>
      <c r="D15" s="1" t="s">
        <v>56</v>
      </c>
      <c r="E15" s="6">
        <v>1</v>
      </c>
      <c r="F15" s="26">
        <v>2800000</v>
      </c>
      <c r="G15" s="27">
        <f t="shared" si="1"/>
        <v>2800000</v>
      </c>
      <c r="H15"/>
      <c r="I15" s="56">
        <f>G15*D41</f>
        <v>0</v>
      </c>
      <c r="J15" s="56">
        <f>G15*E41</f>
        <v>0</v>
      </c>
      <c r="K15" s="56">
        <f>G15*F41</f>
        <v>0</v>
      </c>
      <c r="L15" s="56">
        <f>G15*G41</f>
        <v>2800000</v>
      </c>
      <c r="M15" s="51"/>
      <c r="N15" s="51"/>
    </row>
    <row r="16" spans="2:14" s="4" customFormat="1">
      <c r="B16"/>
      <c r="C16"/>
      <c r="D16"/>
      <c r="E16"/>
      <c r="F16" s="52" t="s">
        <v>57</v>
      </c>
      <c r="G16" s="53">
        <f>SUM(G8:G15)</f>
        <v>37550000</v>
      </c>
      <c r="H16" s="54"/>
      <c r="I16" s="57">
        <f>SUM(I8:I15)</f>
        <v>5535714.2857142854</v>
      </c>
      <c r="J16" s="57">
        <f>SUM(J8:J15)</f>
        <v>13514285.714285715</v>
      </c>
      <c r="K16" s="57">
        <f>SUM(K8:K15)</f>
        <v>14340000</v>
      </c>
      <c r="L16" s="57">
        <f>SUM(L8:L15)</f>
        <v>4160000</v>
      </c>
      <c r="M16" s="51"/>
      <c r="N16" s="51"/>
    </row>
    <row r="17" spans="1:13" s="4" customFormat="1">
      <c r="B17"/>
      <c r="C17"/>
      <c r="D17"/>
      <c r="E17" s="28"/>
      <c r="F17" s="14" t="s">
        <v>58</v>
      </c>
      <c r="G17" s="27">
        <v>8000000</v>
      </c>
      <c r="H17"/>
      <c r="I17" s="51">
        <f>+$G$17*I6</f>
        <v>1179379.8744531102</v>
      </c>
      <c r="J17" s="51">
        <f>+J6*G17</f>
        <v>2879208.6741487538</v>
      </c>
      <c r="K17" s="51">
        <f>G17*K6</f>
        <v>3055126.4980026633</v>
      </c>
      <c r="L17" s="51">
        <f>L6*G17</f>
        <v>886284.95339547272</v>
      </c>
    </row>
    <row r="18" spans="1:13" s="4" customFormat="1">
      <c r="B18" s="28">
        <v>0.2</v>
      </c>
      <c r="C18" t="s">
        <v>88</v>
      </c>
      <c r="D18"/>
      <c r="E18"/>
      <c r="F18" s="14" t="s">
        <v>59</v>
      </c>
      <c r="G18" s="29">
        <v>3500000</v>
      </c>
      <c r="H18"/>
      <c r="I18" s="51">
        <f>+$G$18*I6</f>
        <v>515978.69507323566</v>
      </c>
      <c r="J18" s="51">
        <f>+$G$18*J6</f>
        <v>1259653.7949400798</v>
      </c>
      <c r="K18" s="51">
        <f>+$G$18*K6</f>
        <v>1336617.8428761652</v>
      </c>
      <c r="L18" s="51">
        <f>+$G$18*L6</f>
        <v>387749.66711051931</v>
      </c>
    </row>
    <row r="19" spans="1:13" s="4" customFormat="1">
      <c r="B19" s="28">
        <v>0.05</v>
      </c>
      <c r="C19" t="s">
        <v>89</v>
      </c>
      <c r="D19"/>
      <c r="E19"/>
      <c r="F19" s="52" t="s">
        <v>60</v>
      </c>
      <c r="G19" s="53">
        <f>+G16+G17+G18</f>
        <v>49050000</v>
      </c>
      <c r="H19" s="54"/>
      <c r="I19" s="55">
        <f>SUM(I16:I18)</f>
        <v>7231072.8552406318</v>
      </c>
      <c r="J19" s="55">
        <f>SUM(J16:J18)</f>
        <v>17653148.183374546</v>
      </c>
      <c r="K19" s="55">
        <f>SUM(K16:K18)</f>
        <v>18731744.340878829</v>
      </c>
      <c r="L19" s="55">
        <f>SUM(L16:L18)</f>
        <v>5434034.6205059923</v>
      </c>
    </row>
    <row r="20" spans="1:13" s="4" customFormat="1">
      <c r="C20"/>
      <c r="D20"/>
      <c r="E20" s="28">
        <v>0.19</v>
      </c>
      <c r="F20" s="14" t="s">
        <v>61</v>
      </c>
      <c r="G20" s="29">
        <f>+G19*E20</f>
        <v>9319500</v>
      </c>
      <c r="H20"/>
      <c r="I20" s="51">
        <f>+I19*$E$20</f>
        <v>1373903.8424957201</v>
      </c>
      <c r="J20" s="51">
        <f>+J19*$E$20</f>
        <v>3354098.1548411637</v>
      </c>
      <c r="K20" s="51">
        <f>+K19*$E$20</f>
        <v>3559031.4247669778</v>
      </c>
      <c r="L20" s="51">
        <f>+L19*$E$20</f>
        <v>1032466.5778961385</v>
      </c>
    </row>
    <row r="21" spans="1:13" s="4" customFormat="1">
      <c r="C21"/>
      <c r="D21"/>
      <c r="E21"/>
      <c r="F21" s="14" t="s">
        <v>62</v>
      </c>
      <c r="G21" s="29">
        <f>+G19+G20</f>
        <v>58369500</v>
      </c>
      <c r="I21" s="60">
        <f>+I19+I20</f>
        <v>8604976.6977363527</v>
      </c>
      <c r="J21" s="60">
        <f>+J19+J20</f>
        <v>21007246.338215709</v>
      </c>
      <c r="K21" s="60">
        <f>+K19+K20</f>
        <v>22290775.765645806</v>
      </c>
      <c r="L21" s="60">
        <f>+L19+L20</f>
        <v>6466501.198402131</v>
      </c>
    </row>
    <row r="22" spans="1:13" s="4" customFormat="1">
      <c r="B22" s="3" t="s">
        <v>30</v>
      </c>
      <c r="C22"/>
      <c r="D22"/>
      <c r="E22"/>
      <c r="F22"/>
      <c r="G22"/>
      <c r="H22" s="4" t="s">
        <v>90</v>
      </c>
    </row>
    <row r="23" spans="1:13" s="4" customFormat="1">
      <c r="B23" s="3" t="s">
        <v>63</v>
      </c>
      <c r="C23"/>
      <c r="D23"/>
      <c r="E23"/>
      <c r="F23"/>
      <c r="G23"/>
      <c r="H23" s="7">
        <f>+B18+B19</f>
        <v>0.25</v>
      </c>
      <c r="I23" s="51">
        <f>I21*$H$23</f>
        <v>2151244.1744340882</v>
      </c>
      <c r="J23" s="51">
        <f>J21*$H$23</f>
        <v>5251811.5845539272</v>
      </c>
      <c r="K23" s="51">
        <f>K21*$H$23</f>
        <v>5572693.9414114514</v>
      </c>
      <c r="L23" s="51">
        <f>L21*$H$23</f>
        <v>1616625.2996005327</v>
      </c>
    </row>
    <row r="24" spans="1:13" s="4" customFormat="1">
      <c r="B24" s="3" t="s">
        <v>64</v>
      </c>
      <c r="C24"/>
      <c r="D24"/>
      <c r="E24"/>
      <c r="F24"/>
      <c r="G24"/>
      <c r="H24" s="61">
        <f>+B18*G21</f>
        <v>11673900</v>
      </c>
      <c r="I24" s="62">
        <f>I21-I23</f>
        <v>6453732.5233022645</v>
      </c>
      <c r="J24" s="62">
        <f>+J21-J23</f>
        <v>15755434.753661782</v>
      </c>
      <c r="K24" s="62">
        <f>+K21-K23</f>
        <v>16718081.824234355</v>
      </c>
      <c r="L24" s="62">
        <f>+L21-L23</f>
        <v>4849875.8988015987</v>
      </c>
      <c r="M24" s="62">
        <f>+B19*G21</f>
        <v>2918475</v>
      </c>
    </row>
    <row r="25" spans="1:13" s="4" customFormat="1">
      <c r="B25" s="3" t="s">
        <v>65</v>
      </c>
      <c r="C25"/>
      <c r="D25"/>
      <c r="F25" s="7"/>
      <c r="G25" s="7" t="s">
        <v>91</v>
      </c>
      <c r="H25" s="25">
        <f>H24/$G$21</f>
        <v>0.2</v>
      </c>
      <c r="I25" s="25">
        <f>I24/$G$21</f>
        <v>0.11056686322997909</v>
      </c>
      <c r="J25" s="25">
        <f>J24/$G$21</f>
        <v>0.26992581320144565</v>
      </c>
      <c r="K25" s="25">
        <f>K24/$G$21</f>
        <v>0.28641810918774968</v>
      </c>
      <c r="L25" s="25">
        <f>L24/$G$21</f>
        <v>8.3089214380825574E-2</v>
      </c>
      <c r="M25" s="25">
        <f>M24/$G$21</f>
        <v>0.05</v>
      </c>
    </row>
    <row r="26" spans="1:13" s="4" customFormat="1">
      <c r="B26"/>
      <c r="C26"/>
      <c r="D26"/>
      <c r="F26" s="7"/>
      <c r="G26" s="7" t="s">
        <v>92</v>
      </c>
      <c r="H26" s="25">
        <f>+H25</f>
        <v>0.2</v>
      </c>
      <c r="I26" s="25">
        <f>+I25+H26</f>
        <v>0.31056686322997912</v>
      </c>
      <c r="J26" s="25">
        <f>+J25+I26</f>
        <v>0.58049267643142477</v>
      </c>
      <c r="K26" s="25">
        <f>+K25+J26</f>
        <v>0.86691078561917445</v>
      </c>
      <c r="L26" s="25">
        <f>+L25+K26</f>
        <v>0.95000000000000007</v>
      </c>
      <c r="M26" s="63">
        <f>+M25+L26</f>
        <v>1</v>
      </c>
    </row>
    <row r="27" spans="1:13">
      <c r="A27" s="4"/>
      <c r="B27" s="3" t="s">
        <v>67</v>
      </c>
    </row>
    <row r="28" spans="1:13">
      <c r="A28" s="4"/>
      <c r="B28" s="3" t="s">
        <v>68</v>
      </c>
    </row>
    <row r="29" spans="1:13">
      <c r="A29" s="4"/>
      <c r="B29" s="3" t="s">
        <v>69</v>
      </c>
    </row>
    <row r="30" spans="1:13">
      <c r="A30" s="4"/>
      <c r="B30" s="3" t="s">
        <v>70</v>
      </c>
    </row>
    <row r="33" spans="2:7">
      <c r="B33" s="1" t="s">
        <v>51</v>
      </c>
      <c r="C33" s="5" t="s">
        <v>2</v>
      </c>
      <c r="D33" s="8" t="s">
        <v>78</v>
      </c>
      <c r="E33" s="8" t="s">
        <v>79</v>
      </c>
      <c r="F33" s="8" t="s">
        <v>80</v>
      </c>
      <c r="G33" s="8" t="s">
        <v>81</v>
      </c>
    </row>
    <row r="34" spans="2:7">
      <c r="B34" s="1" t="s">
        <v>7</v>
      </c>
      <c r="C34" s="5" t="s">
        <v>16</v>
      </c>
      <c r="D34" s="50">
        <v>1</v>
      </c>
      <c r="E34" s="50">
        <v>0</v>
      </c>
      <c r="F34" s="50">
        <v>0</v>
      </c>
      <c r="G34" s="50">
        <v>0</v>
      </c>
    </row>
    <row r="35" spans="2:7">
      <c r="B35" s="1" t="s">
        <v>8</v>
      </c>
      <c r="C35" s="5" t="s">
        <v>17</v>
      </c>
      <c r="D35" s="50">
        <f>4/7</f>
        <v>0.5714285714285714</v>
      </c>
      <c r="E35" s="50">
        <f>3/7</f>
        <v>0.42857142857142855</v>
      </c>
      <c r="F35" s="50">
        <v>0</v>
      </c>
      <c r="G35" s="50">
        <v>0</v>
      </c>
    </row>
    <row r="36" spans="2:7">
      <c r="B36" s="1" t="s">
        <v>9</v>
      </c>
      <c r="C36" s="5" t="s">
        <v>18</v>
      </c>
      <c r="D36" s="50">
        <f>4/9</f>
        <v>0.44444444444444442</v>
      </c>
      <c r="E36" s="50">
        <f>5/9</f>
        <v>0.55555555555555558</v>
      </c>
      <c r="F36" s="50">
        <v>0</v>
      </c>
      <c r="G36" s="50">
        <v>0</v>
      </c>
    </row>
    <row r="37" spans="2:7">
      <c r="B37" s="1" t="s">
        <v>10</v>
      </c>
      <c r="C37" s="5" t="s">
        <v>19</v>
      </c>
      <c r="D37" s="50">
        <v>0</v>
      </c>
      <c r="E37" s="50">
        <v>1</v>
      </c>
      <c r="F37" s="50">
        <v>0</v>
      </c>
      <c r="G37" s="50">
        <v>0</v>
      </c>
    </row>
    <row r="38" spans="2:7">
      <c r="B38" s="1" t="s">
        <v>11</v>
      </c>
      <c r="C38" s="5" t="s">
        <v>20</v>
      </c>
      <c r="D38" s="50">
        <v>0</v>
      </c>
      <c r="E38" s="50">
        <v>0.5</v>
      </c>
      <c r="F38" s="50">
        <v>0.5</v>
      </c>
      <c r="G38" s="50">
        <v>0</v>
      </c>
    </row>
    <row r="39" spans="2:7">
      <c r="B39" s="1" t="s">
        <v>21</v>
      </c>
      <c r="C39" s="5" t="s">
        <v>22</v>
      </c>
      <c r="D39" s="50">
        <v>0</v>
      </c>
      <c r="E39" s="50">
        <v>0</v>
      </c>
      <c r="F39" s="50">
        <v>1</v>
      </c>
      <c r="G39" s="50">
        <v>0</v>
      </c>
    </row>
    <row r="40" spans="2:7">
      <c r="B40" s="1" t="s">
        <v>12</v>
      </c>
      <c r="C40" s="5" t="s">
        <v>23</v>
      </c>
      <c r="D40" s="50">
        <v>0</v>
      </c>
      <c r="E40" s="50">
        <v>0</v>
      </c>
      <c r="F40" s="50">
        <v>0.66</v>
      </c>
      <c r="G40" s="50">
        <v>0.34</v>
      </c>
    </row>
    <row r="41" spans="2:7">
      <c r="B41" s="1" t="s">
        <v>13</v>
      </c>
      <c r="C41" s="5" t="s">
        <v>24</v>
      </c>
      <c r="D41" s="50">
        <v>0</v>
      </c>
      <c r="E41" s="50">
        <v>0</v>
      </c>
      <c r="F41" s="50">
        <v>0</v>
      </c>
      <c r="G41" s="50">
        <v>1</v>
      </c>
    </row>
  </sheetData>
  <mergeCells count="1">
    <mergeCell ref="B6:C6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CPM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alumnopr</dc:creator>
  <cp:lastModifiedBy>Francisco Lagos</cp:lastModifiedBy>
  <dcterms:created xsi:type="dcterms:W3CDTF">2025-03-20T16:55:56Z</dcterms:created>
  <dcterms:modified xsi:type="dcterms:W3CDTF">2026-08-31T22:59:12Z</dcterms:modified>
</cp:coreProperties>
</file>